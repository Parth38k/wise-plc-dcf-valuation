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aaf66570d1c3e27/Desktop/Claude job/"/>
    </mc:Choice>
  </mc:AlternateContent>
  <xr:revisionPtr revIDLastSave="18" documentId="11_F25DC773A252ABDACC104821D1196E2C5ADE58F1" xr6:coauthVersionLast="47" xr6:coauthVersionMax="47" xr10:uidLastSave="{FBD11746-A27A-41A5-913F-02C4E17E8CA8}"/>
  <bookViews>
    <workbookView xWindow="-120" yWindow="-120" windowWidth="20730" windowHeight="11760" xr2:uid="{00000000-000D-0000-FFFF-FFFF00000000}"/>
  </bookViews>
  <sheets>
    <sheet name="Cover" sheetId="1" r:id="rId1"/>
    <sheet name="Assumptions" sheetId="2" r:id="rId2"/>
    <sheet name="IS" sheetId="3" r:id="rId3"/>
    <sheet name="BS" sheetId="4" r:id="rId4"/>
    <sheet name="CF" sheetId="5" r:id="rId5"/>
    <sheet name="DCF" sheetId="6" r:id="rId6"/>
    <sheet name="Sensitivity" sheetId="7" r:id="rId7"/>
    <sheet name="Comp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D8" i="8"/>
  <c r="B8" i="8"/>
  <c r="C7" i="8"/>
  <c r="D7" i="8"/>
  <c r="B7" i="8"/>
  <c r="B17" i="1"/>
  <c r="B15" i="1"/>
  <c r="B18" i="2"/>
  <c r="C16" i="2"/>
  <c r="B17" i="2"/>
  <c r="B16" i="2"/>
  <c r="F3" i="6" s="1"/>
  <c r="B16" i="6"/>
  <c r="F5" i="5"/>
  <c r="G5" i="5"/>
  <c r="G8" i="5" s="1"/>
  <c r="D2" i="6" s="1"/>
  <c r="H5" i="5"/>
  <c r="H8" i="5" s="1"/>
  <c r="E2" i="6" s="1"/>
  <c r="I5" i="5"/>
  <c r="E5" i="5"/>
  <c r="C4" i="5"/>
  <c r="D4" i="5"/>
  <c r="D8" i="5" s="1"/>
  <c r="E4" i="5"/>
  <c r="F4" i="5"/>
  <c r="G4" i="5"/>
  <c r="H4" i="5"/>
  <c r="I4" i="5"/>
  <c r="B4" i="5"/>
  <c r="B8" i="5" s="1"/>
  <c r="B11" i="6"/>
  <c r="B15" i="6"/>
  <c r="B12" i="6"/>
  <c r="C3" i="6"/>
  <c r="C8" i="5"/>
  <c r="E8" i="5"/>
  <c r="B2" i="6" s="1"/>
  <c r="F8" i="5"/>
  <c r="C2" i="6" s="1"/>
  <c r="F6" i="5"/>
  <c r="G6" i="5"/>
  <c r="H6" i="5"/>
  <c r="I6" i="5"/>
  <c r="E6" i="5"/>
  <c r="F7" i="5"/>
  <c r="G7" i="5"/>
  <c r="H7" i="5"/>
  <c r="I7" i="5"/>
  <c r="E7" i="5"/>
  <c r="E3" i="5"/>
  <c r="F3" i="5"/>
  <c r="G3" i="5"/>
  <c r="H3" i="5"/>
  <c r="I3" i="5"/>
  <c r="E2" i="5"/>
  <c r="F2" i="5"/>
  <c r="G2" i="5"/>
  <c r="H2" i="5"/>
  <c r="I2" i="5"/>
  <c r="F11" i="3"/>
  <c r="G11" i="3"/>
  <c r="H11" i="3"/>
  <c r="I11" i="3"/>
  <c r="E11" i="3"/>
  <c r="F9" i="3"/>
  <c r="F10" i="3" s="1"/>
  <c r="G9" i="3"/>
  <c r="G10" i="3" s="1"/>
  <c r="H9" i="3"/>
  <c r="I9" i="3"/>
  <c r="I8" i="3"/>
  <c r="H10" i="3"/>
  <c r="I10" i="3"/>
  <c r="E10" i="3"/>
  <c r="E9" i="3"/>
  <c r="F7" i="3"/>
  <c r="G7" i="3"/>
  <c r="H7" i="3"/>
  <c r="I7" i="3"/>
  <c r="E7" i="3"/>
  <c r="F2" i="3"/>
  <c r="G2" i="3" s="1"/>
  <c r="H2" i="3" s="1"/>
  <c r="I2" i="3" s="1"/>
  <c r="E2" i="3"/>
  <c r="B15" i="2"/>
  <c r="B12" i="2"/>
  <c r="C2" i="5"/>
  <c r="D2" i="5"/>
  <c r="C3" i="5"/>
  <c r="D3" i="5"/>
  <c r="L18" i="4"/>
  <c r="L19" i="4" s="1"/>
  <c r="K18" i="4"/>
  <c r="J18" i="4"/>
  <c r="K19" i="4" s="1"/>
  <c r="D6" i="5"/>
  <c r="C6" i="5"/>
  <c r="B6" i="5"/>
  <c r="B3" i="5"/>
  <c r="B2" i="5"/>
  <c r="C17" i="3"/>
  <c r="D17" i="3"/>
  <c r="C18" i="3"/>
  <c r="D18" i="3"/>
  <c r="B18" i="3"/>
  <c r="B17" i="3"/>
  <c r="C16" i="3"/>
  <c r="D16" i="3"/>
  <c r="B16" i="3"/>
  <c r="C15" i="3"/>
  <c r="D15" i="3"/>
  <c r="B15" i="3"/>
  <c r="D14" i="3"/>
  <c r="C14" i="3"/>
  <c r="C4" i="6" l="1"/>
  <c r="D3" i="6"/>
  <c r="D4" i="6" s="1"/>
  <c r="B3" i="6"/>
  <c r="B4" i="6" s="1"/>
  <c r="E3" i="6"/>
  <c r="E4" i="6" s="1"/>
  <c r="I8" i="5"/>
  <c r="F2" i="6" s="1"/>
  <c r="B8" i="6"/>
  <c r="B9" i="6" s="1"/>
  <c r="F4" i="6"/>
  <c r="B5" i="6" l="1"/>
  <c r="B14" i="6" l="1"/>
  <c r="B17" i="6" s="1"/>
  <c r="B19" i="6" s="1"/>
  <c r="J2" i="7"/>
  <c r="B21" i="6"/>
  <c r="B2" i="7"/>
  <c r="B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NARENDRA KABRAWALA</author>
  </authors>
  <commentList>
    <comment ref="B16" authorId="0" shapeId="0" xr:uid="{686FA3E1-B511-491F-87D6-023C07CBB050}">
      <text>
        <r>
          <rPr>
            <b/>
            <sz val="9"/>
            <color indexed="81"/>
            <rFont val="Tahoma"/>
            <charset val="1"/>
          </rPr>
          <t>NARENDRA KABRAWALA:</t>
        </r>
        <r>
          <rPr>
            <sz val="9"/>
            <color indexed="81"/>
            <rFont val="Tahoma"/>
            <charset val="1"/>
          </rPr>
          <t xml:space="preserve">
Base case sourced from Sensitivity sheet (input cell for data table). Calculated WACC = (B15*B13)+((1-B15)*B12) — see C16.</t>
        </r>
      </text>
    </comment>
    <comment ref="C16" authorId="0" shapeId="0" xr:uid="{398D589B-AE1A-47A0-92A9-C2C3B80CB938}">
      <text>
        <r>
          <rPr>
            <b/>
            <sz val="9"/>
            <color indexed="81"/>
            <rFont val="Tahoma"/>
            <charset val="1"/>
          </rPr>
          <t>NARENDRA KABRAWALA:</t>
        </r>
        <r>
          <rPr>
            <sz val="9"/>
            <color indexed="81"/>
            <rFont val="Tahoma"/>
            <charset val="1"/>
          </rPr>
          <t xml:space="preserve">
Model-calculated WACC (for reference). B16 uses Sensitivity!B16 as input to drive the sensitivity table.</t>
        </r>
      </text>
    </comment>
    <comment ref="B17" authorId="0" shapeId="0" xr:uid="{645C1285-90B4-4D1C-894B-D59406C8FBC5}">
      <text>
        <r>
          <rPr>
            <b/>
            <sz val="9"/>
            <color indexed="81"/>
            <rFont val="Tahoma"/>
            <charset val="1"/>
          </rPr>
          <t>NARENDRA KABRAWALA:</t>
        </r>
        <r>
          <rPr>
            <sz val="9"/>
            <color indexed="81"/>
            <rFont val="Tahoma"/>
            <charset val="1"/>
          </rPr>
          <t xml:space="preserve">
Base case sourced from Sensitivity sheet (input cell for data table).</t>
        </r>
      </text>
    </comment>
  </commentList>
</comments>
</file>

<file path=xl/sharedStrings.xml><?xml version="1.0" encoding="utf-8"?>
<sst xmlns="http://schemas.openxmlformats.org/spreadsheetml/2006/main" count="168" uniqueCount="132">
  <si>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</si>
  <si>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</si>
  <si>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</si>
  <si>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</si>
  <si>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</si>
  <si>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</si>
  <si>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</si>
  <si>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</si>
  <si>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Total Income</t>
  </si>
  <si>
    <t>Cost of Sales</t>
  </si>
  <si>
    <t>Net Credit Losses</t>
  </si>
  <si>
    <t>Gross Profit</t>
  </si>
  <si>
    <t>Admin Expenses</t>
  </si>
  <si>
    <t>Operating Profit</t>
  </si>
  <si>
    <t>Finance Income/Exp</t>
  </si>
  <si>
    <t>PBT</t>
  </si>
  <si>
    <t>Tax</t>
  </si>
  <si>
    <t>Net Profit</t>
  </si>
  <si>
    <t>Total Income Growth %</t>
  </si>
  <si>
    <t>Gross Margin %</t>
  </si>
  <si>
    <t>Operating Margin %</t>
  </si>
  <si>
    <t>Net Margin %</t>
  </si>
  <si>
    <t>Effective Tax Rate %</t>
  </si>
  <si>
    <t>Operating Profit (EBIT)</t>
  </si>
  <si>
    <t>Less: Tax paid</t>
  </si>
  <si>
    <t>NOPAT (Net Operating Profit After Tax)</t>
  </si>
  <si>
    <t>Add back: D&amp;A</t>
  </si>
  <si>
    <t>Less: Capex</t>
  </si>
  <si>
    <t>Less: Change in Working Capital</t>
  </si>
  <si>
    <t>Free Cash Flow to Firm (FCFF)</t>
  </si>
  <si>
    <t>Cash flows from investing activities</t>
  </si>
  <si>
    <t>Payments for property, plant and equipment</t>
  </si>
  <si>
    <t>Payments for intangible assets</t>
  </si>
  <si>
    <t>Payments for financial assets at FVOCI</t>
  </si>
  <si>
    <t>Proceeds from sale and maturity of financial assets at FVOCI</t>
  </si>
  <si>
    <t>Proceeds from sublease</t>
  </si>
  <si>
    <t>–</t>
  </si>
  <si>
    <t>Net cash used in investing activities</t>
  </si>
  <si>
    <r>
      <t xml:space="preserve">Non-current assets </t>
    </r>
    <r>
      <rPr>
        <sz val="7.5"/>
        <color rgb="FF4A4948"/>
        <rFont val="Calibri"/>
        <family val="2"/>
        <scheme val="minor"/>
      </rPr>
      <t>Deferred tax assets</t>
    </r>
  </si>
  <si>
    <t>Property, plant and equipment</t>
  </si>
  <si>
    <t>Intangible assets</t>
  </si>
  <si>
    <t>Trade and other receivables</t>
  </si>
  <si>
    <t>Total non-current assets</t>
  </si>
  <si>
    <t>Current assets</t>
  </si>
  <si>
    <t>Current tax assets</t>
  </si>
  <si>
    <t>Short-term financial investments</t>
  </si>
  <si>
    <t>Derivative financial assets</t>
  </si>
  <si>
    <t>Cash and cash equivalents</t>
  </si>
  <si>
    <t>Total current assets</t>
  </si>
  <si>
    <t>Total assets</t>
  </si>
  <si>
    <t>Non-current liabilities</t>
  </si>
  <si>
    <t>Trade and other payables</t>
  </si>
  <si>
    <t>Borrowings</t>
  </si>
  <si>
    <t>Lease liabilities</t>
  </si>
  <si>
    <t>Deferred tax liabilities</t>
  </si>
  <si>
    <t>Provisions</t>
  </si>
  <si>
    <t>Total non-current liabilities</t>
  </si>
  <si>
    <t>Current liabilities</t>
  </si>
  <si>
    <t>Current tax liabilities</t>
  </si>
  <si>
    <t>Derivative financial liabilities</t>
  </si>
  <si>
    <t>Total current liabilities</t>
  </si>
  <si>
    <t>Total liabilities</t>
  </si>
  <si>
    <t>Equity</t>
  </si>
  <si>
    <t>Share capital</t>
  </si>
  <si>
    <t>Equity merger reserve</t>
  </si>
  <si>
    <t>Share-based payment reserve</t>
  </si>
  <si>
    <t>Own shares reserve</t>
  </si>
  <si>
    <t>Other reserves</t>
  </si>
  <si>
    <t>Currency translation reserve</t>
  </si>
  <si>
    <t>Retained earnings</t>
  </si>
  <si>
    <t>Total equity</t>
  </si>
  <si>
    <t>Total liabilities and equity</t>
  </si>
  <si>
    <t>Change in NWC</t>
  </si>
  <si>
    <t>Risk Free Rate (10Y UK Gilt)</t>
  </si>
  <si>
    <t>Equity Risk Premium</t>
  </si>
  <si>
    <t>Beta</t>
  </si>
  <si>
    <t>Cost of Equity</t>
  </si>
  <si>
    <t>Cost of Debt (pre-tax)</t>
  </si>
  <si>
    <t>Tax Rate</t>
  </si>
  <si>
    <t>Debt / (Debt + Equity)</t>
  </si>
  <si>
    <t>WACC</t>
  </si>
  <si>
    <t>Terminal Growth Rate</t>
  </si>
  <si>
    <t>Exit Multiple (EV/EBITDA)</t>
  </si>
  <si>
    <t>Year</t>
  </si>
  <si>
    <t>FCFF</t>
  </si>
  <si>
    <t>Disount Factor</t>
  </si>
  <si>
    <t>PV of FCFF</t>
  </si>
  <si>
    <t>Sum of PV of FCFF</t>
  </si>
  <si>
    <t>Terminal Value</t>
  </si>
  <si>
    <t>Terminal Value (Perpetuity)</t>
  </si>
  <si>
    <t>PV of Terminal Value</t>
  </si>
  <si>
    <t>Terminal Value (Exit multiple)</t>
  </si>
  <si>
    <t>Enterprise Value (Perpertuity Method)</t>
  </si>
  <si>
    <t>Less: Corporate Debt</t>
  </si>
  <si>
    <t>Add: Corporate Cash</t>
  </si>
  <si>
    <t>Shares Outstanding</t>
  </si>
  <si>
    <t>Million Shares</t>
  </si>
  <si>
    <t>Implied Share price</t>
  </si>
  <si>
    <t>Current share price</t>
  </si>
  <si>
    <t>Variation</t>
  </si>
  <si>
    <t>Equity Value</t>
  </si>
  <si>
    <t>WACC vs Terminal Growth Rate</t>
  </si>
  <si>
    <t>WACC vs Exit Multiple</t>
  </si>
  <si>
    <t>Wise PLC (WISE.L) — DCF Valuation Model</t>
  </si>
  <si>
    <t>Parth Kabrawala</t>
  </si>
  <si>
    <t>Disclaimer: For educational purposes only. Not investment advice.</t>
  </si>
  <si>
    <t>Key output summary: Implied share price (perpetuity), implied share price (exit multiple), current share price, upside/downside</t>
  </si>
  <si>
    <t>Company</t>
  </si>
  <si>
    <t>Wise</t>
  </si>
  <si>
    <t>Paypal</t>
  </si>
  <si>
    <t>Adyen</t>
  </si>
  <si>
    <t>Remitly</t>
  </si>
  <si>
    <t>EV/Ebitda</t>
  </si>
  <si>
    <t>EV/Revenue</t>
  </si>
  <si>
    <t>P/E</t>
  </si>
  <si>
    <t>Prepared by</t>
  </si>
  <si>
    <t>Date</t>
  </si>
  <si>
    <t>Methodology</t>
  </si>
  <si>
    <t>5-Year DCF using two-stage valuation:</t>
  </si>
  <si>
    <t>Stage 1: Explicit FCFF forecast period</t>
  </si>
  <si>
    <t>Stage 2: Terminal Value via (a) Gordon Growth perpetuity (b) EV/EBITDA Exit multiple</t>
  </si>
  <si>
    <t xml:space="preserve">WACC: 8.47% </t>
  </si>
  <si>
    <t>Key outputs:</t>
  </si>
  <si>
    <t>Implied Share Price (perpetuity method)</t>
  </si>
  <si>
    <t xml:space="preserve">Current Market Price </t>
  </si>
  <si>
    <t>Implied (Upside)/(Downside)</t>
  </si>
  <si>
    <t>Mean</t>
  </si>
  <si>
    <t>Median</t>
  </si>
  <si>
    <t>ASSUMPTIONS</t>
  </si>
  <si>
    <t>WACC &amp; VALUATION INPUTS</t>
  </si>
  <si>
    <t>Note</t>
  </si>
  <si>
    <t>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</si>
</sst>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m/yyyy"/>
    <numFmt numFmtId="165" formatCode="\£#,##0.00"/>
    <numFmt numFmtId="166" formatCode="0.0%"/>
    <numFmt numFmtId="167" formatCode="0.0&quot;x&quot;"/>
    <numFmt numFmtId="168" formatCode="0.0%;\(0.0%\);&quot;-&quot;"/>
    <numFmt numFmtId="169" formatCode="#,##0.0;\(#,##0.0\);&quot;-&quot;"/>
    <numFmt numFmtId="170" formatCode="0.0000"/>
    <numFmt numFmtId="171" formatCode="#,##0;\(#,##0\);&quot;-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.5"/>
      <color rgb="FF545353"/>
      <name val="Calibri"/>
      <family val="2"/>
      <scheme val="minor"/>
    </font>
    <font>
      <b/>
      <sz val="7.5"/>
      <color rgb="FF4A4948"/>
      <name val="Calibri"/>
      <family val="2"/>
      <scheme val="minor"/>
    </font>
    <font>
      <sz val="7.5"/>
      <color rgb="FF4A4948"/>
      <name val="Calibri"/>
      <family val="2"/>
      <scheme val="minor"/>
    </font>
    <font>
      <u/>
      <sz val="7.5"/>
      <color rgb="FF545353"/>
      <name val="Calibri"/>
      <family val="2"/>
      <scheme val="minor"/>
    </font>
    <font>
      <b/>
      <u/>
      <sz val="7.5"/>
      <color rgb="FF4A4948"/>
      <name val="Calibri"/>
      <family val="2"/>
      <scheme val="minor"/>
    </font>
    <font>
      <b/>
      <sz val="7.5"/>
      <color rgb="FF545353"/>
      <name val="Calibri"/>
      <family val="2"/>
      <scheme val="minor"/>
    </font>
    <font>
      <u/>
      <sz val="7.5"/>
      <color rgb="FF4A4948"/>
      <name val="Calibri"/>
      <family val="2"/>
      <scheme val="minor"/>
    </font>
    <font>
      <sz val="11"/>
      <color rgb="FF66666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888888"/>
      <name val="Calibri"/>
      <family val="2"/>
      <scheme val="minor"/>
    </font>
    <font>
      <u/>
      <sz val="9"/>
      <color rgb="FF888888"/>
      <name val="Calibri"/>
      <family val="2"/>
      <scheme val="minor"/>
    </font>
    <font>
      <b/>
      <sz val="9"/>
      <color rgb="FF888888"/>
      <name val="Calibri"/>
      <family val="2"/>
      <scheme val="minor"/>
    </font>
    <font>
      <b/>
      <sz val="7.5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A0A0A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DC3E6"/>
      </left>
      <right/>
      <top style="thin">
        <color rgb="FF9DC3E6"/>
      </top>
      <bottom style="hair">
        <color rgb="FF9DC3E6"/>
      </bottom>
      <diagonal/>
    </border>
    <border>
      <left/>
      <right style="thin">
        <color rgb="FF9DC3E6"/>
      </right>
      <top style="thin">
        <color rgb="FF9DC3E6"/>
      </top>
      <bottom style="hair">
        <color rgb="FF9DC3E6"/>
      </bottom>
      <diagonal/>
    </border>
    <border>
      <left style="thin">
        <color rgb="FF9DC3E6"/>
      </left>
      <right/>
      <top style="hair">
        <color rgb="FF9DC3E6"/>
      </top>
      <bottom style="hair">
        <color rgb="FF9DC3E6"/>
      </bottom>
      <diagonal/>
    </border>
    <border>
      <left/>
      <right style="thin">
        <color rgb="FF9DC3E6"/>
      </right>
      <top style="hair">
        <color rgb="FF9DC3E6"/>
      </top>
      <bottom style="hair">
        <color rgb="FF9DC3E6"/>
      </bottom>
      <diagonal/>
    </border>
    <border>
      <left style="thin">
        <color rgb="FF9DC3E6"/>
      </left>
      <right/>
      <top style="hair">
        <color rgb="FF9DC3E6"/>
      </top>
      <bottom style="thin">
        <color rgb="FF9DC3E6"/>
      </bottom>
      <diagonal/>
    </border>
    <border>
      <left/>
      <right style="thin">
        <color rgb="FF9DC3E6"/>
      </right>
      <top style="hair">
        <color rgb="FF9DC3E6"/>
      </top>
      <bottom style="thin">
        <color rgb="FF9DC3E6"/>
      </bottom>
      <diagonal/>
    </border>
    <border>
      <left style="medium">
        <color indexed="64"/>
      </left>
      <right style="hair">
        <color rgb="FF9DC3E6"/>
      </right>
      <top style="medium">
        <color indexed="64"/>
      </top>
      <bottom style="hair">
        <color rgb="FF9DC3E6"/>
      </bottom>
      <diagonal/>
    </border>
    <border>
      <left style="hair">
        <color rgb="FF9DC3E6"/>
      </left>
      <right style="hair">
        <color rgb="FF9DC3E6"/>
      </right>
      <top style="medium">
        <color indexed="64"/>
      </top>
      <bottom style="hair">
        <color rgb="FF9DC3E6"/>
      </bottom>
      <diagonal/>
    </border>
    <border>
      <left style="hair">
        <color rgb="FF9DC3E6"/>
      </left>
      <right style="medium">
        <color auto="1"/>
      </right>
      <top style="medium">
        <color indexed="64"/>
      </top>
      <bottom style="hair">
        <color rgb="FF9DC3E6"/>
      </bottom>
      <diagonal/>
    </border>
    <border>
      <left style="medium">
        <color indexed="64"/>
      </left>
      <right style="hair">
        <color rgb="FF9DC3E6"/>
      </right>
      <top style="hair">
        <color rgb="FF9DC3E6"/>
      </top>
      <bottom style="hair">
        <color rgb="FF9DC3E6"/>
      </bottom>
      <diagonal/>
    </border>
    <border>
      <left style="hair">
        <color rgb="FF9DC3E6"/>
      </left>
      <right style="hair">
        <color rgb="FF9DC3E6"/>
      </right>
      <top style="hair">
        <color rgb="FF9DC3E6"/>
      </top>
      <bottom style="hair">
        <color rgb="FF9DC3E6"/>
      </bottom>
      <diagonal/>
    </border>
    <border>
      <left style="hair">
        <color rgb="FF9DC3E6"/>
      </left>
      <right style="medium">
        <color auto="1"/>
      </right>
      <top style="hair">
        <color rgb="FF9DC3E6"/>
      </top>
      <bottom style="hair">
        <color rgb="FF9DC3E6"/>
      </bottom>
      <diagonal/>
    </border>
    <border>
      <left style="medium">
        <color indexed="64"/>
      </left>
      <right style="hair">
        <color rgb="FF9DC3E6"/>
      </right>
      <top style="hair">
        <color rgb="FF9DC3E6"/>
      </top>
      <bottom style="medium">
        <color indexed="64"/>
      </bottom>
      <diagonal/>
    </border>
    <border>
      <left style="hair">
        <color rgb="FF9DC3E6"/>
      </left>
      <right style="hair">
        <color rgb="FF9DC3E6"/>
      </right>
      <top style="hair">
        <color rgb="FF9DC3E6"/>
      </top>
      <bottom style="medium">
        <color indexed="64"/>
      </bottom>
      <diagonal/>
    </border>
    <border>
      <left style="hair">
        <color rgb="FF9DC3E6"/>
      </left>
      <right style="medium">
        <color auto="1"/>
      </right>
      <top style="hair">
        <color rgb="FF9DC3E6"/>
      </top>
      <bottom style="medium">
        <color indexed="64"/>
      </bottom>
      <diagonal/>
    </border>
    <border>
      <left style="thin">
        <color rgb="FF9DC3E6"/>
      </left>
      <right style="hair">
        <color rgb="FF9DC3E6"/>
      </right>
      <top style="thin">
        <color rgb="FF9DC3E6"/>
      </top>
      <bottom style="hair">
        <color rgb="FF9DC3E6"/>
      </bottom>
      <diagonal/>
    </border>
    <border>
      <left style="hair">
        <color rgb="FF9DC3E6"/>
      </left>
      <right style="hair">
        <color rgb="FF9DC3E6"/>
      </right>
      <top style="thin">
        <color rgb="FF9DC3E6"/>
      </top>
      <bottom style="hair">
        <color rgb="FF9DC3E6"/>
      </bottom>
      <diagonal/>
    </border>
    <border>
      <left style="hair">
        <color rgb="FF9DC3E6"/>
      </left>
      <right style="thin">
        <color rgb="FF9DC3E6"/>
      </right>
      <top style="thin">
        <color rgb="FF9DC3E6"/>
      </top>
      <bottom style="hair">
        <color rgb="FF9DC3E6"/>
      </bottom>
      <diagonal/>
    </border>
    <border>
      <left style="thin">
        <color rgb="FF9DC3E6"/>
      </left>
      <right style="hair">
        <color rgb="FF9DC3E6"/>
      </right>
      <top style="hair">
        <color rgb="FF9DC3E6"/>
      </top>
      <bottom style="hair">
        <color rgb="FF9DC3E6"/>
      </bottom>
      <diagonal/>
    </border>
    <border>
      <left style="hair">
        <color rgb="FF9DC3E6"/>
      </left>
      <right style="thin">
        <color rgb="FF9DC3E6"/>
      </right>
      <top style="hair">
        <color rgb="FF9DC3E6"/>
      </top>
      <bottom style="hair">
        <color rgb="FF9DC3E6"/>
      </bottom>
      <diagonal/>
    </border>
    <border>
      <left style="thin">
        <color rgb="FF9DC3E6"/>
      </left>
      <right style="hair">
        <color rgb="FF9DC3E6"/>
      </right>
      <top style="hair">
        <color rgb="FF9DC3E6"/>
      </top>
      <bottom style="thin">
        <color rgb="FF9DC3E6"/>
      </bottom>
      <diagonal/>
    </border>
    <border>
      <left style="hair">
        <color rgb="FF9DC3E6"/>
      </left>
      <right style="hair">
        <color rgb="FF9DC3E6"/>
      </right>
      <top style="hair">
        <color rgb="FF9DC3E6"/>
      </top>
      <bottom style="thin">
        <color rgb="FF9DC3E6"/>
      </bottom>
      <diagonal/>
    </border>
    <border>
      <left style="hair">
        <color rgb="FF9DC3E6"/>
      </left>
      <right style="thin">
        <color rgb="FF9DC3E6"/>
      </right>
      <top style="hair">
        <color rgb="FF9DC3E6"/>
      </top>
      <bottom style="thin">
        <color rgb="FF9DC3E6"/>
      </bottom>
      <diagonal/>
    </border>
    <border>
      <left style="medium">
        <color rgb="FF1F3864"/>
      </left>
      <right style="hair">
        <color rgb="FF9DC3E6"/>
      </right>
      <top style="medium">
        <color rgb="FF1F3864"/>
      </top>
      <bottom style="hair">
        <color rgb="FF9DC3E6"/>
      </bottom>
      <diagonal/>
    </border>
    <border>
      <left style="hair">
        <color rgb="FF9DC3E6"/>
      </left>
      <right style="hair">
        <color rgb="FF9DC3E6"/>
      </right>
      <top style="medium">
        <color rgb="FF1F3864"/>
      </top>
      <bottom style="hair">
        <color rgb="FF9DC3E6"/>
      </bottom>
      <diagonal/>
    </border>
    <border>
      <left style="hair">
        <color rgb="FF9DC3E6"/>
      </left>
      <right style="medium">
        <color rgb="FF1F3864"/>
      </right>
      <top style="medium">
        <color rgb="FF1F3864"/>
      </top>
      <bottom style="hair">
        <color rgb="FF9DC3E6"/>
      </bottom>
      <diagonal/>
    </border>
    <border>
      <left style="medium">
        <color rgb="FF1F3864"/>
      </left>
      <right style="hair">
        <color rgb="FF9DC3E6"/>
      </right>
      <top style="hair">
        <color rgb="FF9DC3E6"/>
      </top>
      <bottom style="hair">
        <color rgb="FF9DC3E6"/>
      </bottom>
      <diagonal/>
    </border>
    <border>
      <left style="hair">
        <color rgb="FF9DC3E6"/>
      </left>
      <right style="medium">
        <color rgb="FF1F3864"/>
      </right>
      <top style="hair">
        <color rgb="FF9DC3E6"/>
      </top>
      <bottom style="hair">
        <color rgb="FF9DC3E6"/>
      </bottom>
      <diagonal/>
    </border>
    <border>
      <left style="medium">
        <color rgb="FF1F3864"/>
      </left>
      <right style="hair">
        <color rgb="FF9DC3E6"/>
      </right>
      <top style="hair">
        <color rgb="FF9DC3E6"/>
      </top>
      <bottom style="medium">
        <color rgb="FF1F3864"/>
      </bottom>
      <diagonal/>
    </border>
    <border>
      <left style="hair">
        <color rgb="FF9DC3E6"/>
      </left>
      <right style="hair">
        <color rgb="FF9DC3E6"/>
      </right>
      <top style="hair">
        <color rgb="FF9DC3E6"/>
      </top>
      <bottom style="medium">
        <color rgb="FF1F3864"/>
      </bottom>
      <diagonal/>
    </border>
    <border>
      <left style="hair">
        <color rgb="FF9DC3E6"/>
      </left>
      <right style="medium">
        <color rgb="FF1F3864"/>
      </right>
      <top style="hair">
        <color rgb="FF9DC3E6"/>
      </top>
      <bottom style="medium">
        <color rgb="FF1F38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4" fontId="0" fillId="0" borderId="0" xfId="0" applyNumberFormat="1"/>
    <xf numFmtId="9" fontId="0" fillId="0" borderId="0" xfId="0" applyNumberFormat="1"/>
    <xf numFmtId="0" fontId="12" fillId="0" borderId="0" xfId="0" applyFont="1"/>
    <xf numFmtId="0" fontId="0" fillId="3" borderId="0" xfId="0" applyFill="1"/>
    <xf numFmtId="0" fontId="14" fillId="3" borderId="0" xfId="0" applyFont="1" applyFill="1" applyAlignment="1">
      <alignment vertical="center"/>
    </xf>
    <xf numFmtId="17" fontId="0" fillId="3" borderId="0" xfId="0" applyNumberFormat="1" applyFill="1"/>
    <xf numFmtId="164" fontId="0" fillId="0" borderId="0" xfId="0" applyNumberFormat="1"/>
    <xf numFmtId="0" fontId="15" fillId="4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3" fillId="5" borderId="0" xfId="0" applyFont="1" applyFill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0" fontId="12" fillId="0" borderId="4" xfId="0" applyFont="1" applyBorder="1"/>
    <xf numFmtId="165" fontId="19" fillId="0" borderId="5" xfId="0" applyNumberFormat="1" applyFont="1" applyBorder="1" applyAlignment="1">
      <alignment horizontal="right"/>
    </xf>
    <xf numFmtId="0" fontId="12" fillId="0" borderId="6" xfId="0" applyFont="1" applyBorder="1"/>
    <xf numFmtId="166" fontId="20" fillId="0" borderId="7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7" fillId="6" borderId="11" xfId="0" applyFont="1" applyFill="1" applyBorder="1"/>
    <xf numFmtId="167" fontId="17" fillId="6" borderId="12" xfId="0" applyNumberFormat="1" applyFont="1" applyFill="1" applyBorder="1" applyAlignment="1">
      <alignment horizontal="center"/>
    </xf>
    <xf numFmtId="167" fontId="17" fillId="6" borderId="13" xfId="0" applyNumberFormat="1" applyFont="1" applyFill="1" applyBorder="1" applyAlignment="1">
      <alignment horizontal="center"/>
    </xf>
    <xf numFmtId="0" fontId="0" fillId="7" borderId="11" xfId="0" applyFill="1" applyBorder="1"/>
    <xf numFmtId="167" fontId="0" fillId="7" borderId="12" xfId="0" applyNumberFormat="1" applyFill="1" applyBorder="1" applyAlignment="1">
      <alignment horizontal="center"/>
    </xf>
    <xf numFmtId="167" fontId="0" fillId="7" borderId="13" xfId="0" applyNumberFormat="1" applyFill="1" applyBorder="1" applyAlignment="1">
      <alignment horizontal="center"/>
    </xf>
    <xf numFmtId="0" fontId="0" fillId="8" borderId="11" xfId="0" applyFill="1" applyBorder="1"/>
    <xf numFmtId="167" fontId="0" fillId="8" borderId="12" xfId="0" applyNumberFormat="1" applyFill="1" applyBorder="1" applyAlignment="1">
      <alignment horizontal="center"/>
    </xf>
    <xf numFmtId="167" fontId="0" fillId="8" borderId="13" xfId="0" applyNumberFormat="1" applyFill="1" applyBorder="1" applyAlignment="1">
      <alignment horizontal="center"/>
    </xf>
    <xf numFmtId="0" fontId="0" fillId="0" borderId="11" xfId="0" applyBorder="1"/>
    <xf numFmtId="167" fontId="0" fillId="0" borderId="12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0" fontId="12" fillId="9" borderId="11" xfId="0" applyFont="1" applyFill="1" applyBorder="1"/>
    <xf numFmtId="167" fontId="12" fillId="9" borderId="12" xfId="0" applyNumberFormat="1" applyFont="1" applyFill="1" applyBorder="1" applyAlignment="1">
      <alignment horizontal="center"/>
    </xf>
    <xf numFmtId="167" fontId="12" fillId="9" borderId="13" xfId="0" applyNumberFormat="1" applyFont="1" applyFill="1" applyBorder="1" applyAlignment="1">
      <alignment horizontal="center"/>
    </xf>
    <xf numFmtId="0" fontId="12" fillId="9" borderId="14" xfId="0" applyFont="1" applyFill="1" applyBorder="1"/>
    <xf numFmtId="167" fontId="12" fillId="9" borderId="15" xfId="0" applyNumberFormat="1" applyFont="1" applyFill="1" applyBorder="1" applyAlignment="1">
      <alignment horizontal="center"/>
    </xf>
    <xf numFmtId="167" fontId="12" fillId="9" borderId="16" xfId="0" applyNumberFormat="1" applyFont="1" applyFill="1" applyBorder="1" applyAlignment="1">
      <alignment horizontal="center"/>
    </xf>
    <xf numFmtId="0" fontId="13" fillId="3" borderId="17" xfId="0" applyFont="1" applyFill="1" applyBorder="1" applyAlignment="1">
      <alignment vertical="center"/>
    </xf>
    <xf numFmtId="0" fontId="13" fillId="3" borderId="18" xfId="0" applyFont="1" applyFill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3" fillId="5" borderId="20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2" fillId="0" borderId="20" xfId="0" applyFont="1" applyBorder="1"/>
    <xf numFmtId="168" fontId="21" fillId="0" borderId="12" xfId="1" applyNumberFormat="1" applyFont="1" applyBorder="1"/>
    <xf numFmtId="168" fontId="16" fillId="0" borderId="12" xfId="1" applyNumberFormat="1" applyFont="1" applyBorder="1"/>
    <xf numFmtId="168" fontId="16" fillId="0" borderId="21" xfId="1" applyNumberFormat="1" applyFont="1" applyBorder="1"/>
    <xf numFmtId="168" fontId="16" fillId="0" borderId="12" xfId="0" applyNumberFormat="1" applyFont="1" applyBorder="1"/>
    <xf numFmtId="168" fontId="16" fillId="0" borderId="21" xfId="0" applyNumberFormat="1" applyFont="1" applyBorder="1"/>
    <xf numFmtId="0" fontId="13" fillId="5" borderId="20" xfId="0" applyFont="1" applyFill="1" applyBorder="1" applyAlignment="1">
      <alignment vertical="center"/>
    </xf>
    <xf numFmtId="0" fontId="13" fillId="5" borderId="12" xfId="0" applyFont="1" applyFill="1" applyBorder="1" applyAlignment="1">
      <alignment vertical="center"/>
    </xf>
    <xf numFmtId="0" fontId="13" fillId="5" borderId="21" xfId="0" applyFont="1" applyFill="1" applyBorder="1" applyAlignment="1">
      <alignment vertical="center"/>
    </xf>
    <xf numFmtId="10" fontId="16" fillId="0" borderId="12" xfId="0" applyNumberFormat="1" applyFont="1" applyBorder="1"/>
    <xf numFmtId="0" fontId="0" fillId="0" borderId="12" xfId="0" applyBorder="1"/>
    <xf numFmtId="0" fontId="0" fillId="0" borderId="21" xfId="0" applyBorder="1"/>
    <xf numFmtId="2" fontId="16" fillId="0" borderId="12" xfId="0" applyNumberFormat="1" applyFont="1" applyBorder="1"/>
    <xf numFmtId="10" fontId="21" fillId="0" borderId="12" xfId="0" applyNumberFormat="1" applyFont="1" applyBorder="1"/>
    <xf numFmtId="9" fontId="16" fillId="0" borderId="12" xfId="0" applyNumberFormat="1" applyFont="1" applyBorder="1"/>
    <xf numFmtId="166" fontId="21" fillId="0" borderId="12" xfId="0" applyNumberFormat="1" applyFont="1" applyBorder="1"/>
    <xf numFmtId="0" fontId="12" fillId="9" borderId="20" xfId="0" applyFont="1" applyFill="1" applyBorder="1"/>
    <xf numFmtId="10" fontId="22" fillId="9" borderId="12" xfId="1" applyNumberFormat="1" applyFont="1" applyFill="1" applyBorder="1"/>
    <xf numFmtId="10" fontId="9" fillId="0" borderId="12" xfId="0" applyNumberFormat="1" applyFont="1" applyBorder="1"/>
    <xf numFmtId="0" fontId="12" fillId="0" borderId="22" xfId="0" applyFont="1" applyBorder="1"/>
    <xf numFmtId="167" fontId="16" fillId="0" borderId="23" xfId="0" applyNumberFormat="1" applyFont="1" applyBorder="1"/>
    <xf numFmtId="0" fontId="0" fillId="0" borderId="23" xfId="0" applyBorder="1"/>
    <xf numFmtId="0" fontId="0" fillId="0" borderId="24" xfId="0" applyBorder="1"/>
    <xf numFmtId="0" fontId="12" fillId="11" borderId="1" xfId="0" applyFont="1" applyFill="1" applyBorder="1"/>
    <xf numFmtId="168" fontId="0" fillId="11" borderId="1" xfId="0" applyNumberFormat="1" applyFill="1" applyBorder="1"/>
    <xf numFmtId="168" fontId="0" fillId="11" borderId="0" xfId="0" applyNumberFormat="1" applyFill="1"/>
    <xf numFmtId="168" fontId="21" fillId="11" borderId="1" xfId="0" applyNumberFormat="1" applyFont="1" applyFill="1" applyBorder="1"/>
    <xf numFmtId="168" fontId="21" fillId="11" borderId="0" xfId="0" applyNumberFormat="1" applyFont="1" applyFill="1"/>
    <xf numFmtId="0" fontId="13" fillId="3" borderId="25" xfId="0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2" fillId="0" borderId="28" xfId="0" applyFont="1" applyBorder="1"/>
    <xf numFmtId="169" fontId="0" fillId="0" borderId="12" xfId="0" applyNumberFormat="1" applyBorder="1"/>
    <xf numFmtId="169" fontId="0" fillId="0" borderId="29" xfId="0" applyNumberFormat="1" applyBorder="1"/>
    <xf numFmtId="0" fontId="12" fillId="9" borderId="28" xfId="0" applyFont="1" applyFill="1" applyBorder="1"/>
    <xf numFmtId="169" fontId="12" fillId="9" borderId="12" xfId="0" applyNumberFormat="1" applyFont="1" applyFill="1" applyBorder="1"/>
    <xf numFmtId="169" fontId="12" fillId="9" borderId="29" xfId="0" applyNumberFormat="1" applyFont="1" applyFill="1" applyBorder="1"/>
    <xf numFmtId="0" fontId="12" fillId="10" borderId="30" xfId="0" applyFont="1" applyFill="1" applyBorder="1"/>
    <xf numFmtId="169" fontId="12" fillId="10" borderId="31" xfId="0" applyNumberFormat="1" applyFont="1" applyFill="1" applyBorder="1"/>
    <xf numFmtId="169" fontId="12" fillId="10" borderId="32" xfId="0" applyNumberFormat="1" applyFont="1" applyFill="1" applyBorder="1"/>
    <xf numFmtId="0" fontId="3" fillId="0" borderId="28" xfId="0" applyFont="1" applyBorder="1" applyAlignment="1">
      <alignment horizontal="justify" vertical="center" wrapText="1"/>
    </xf>
    <xf numFmtId="0" fontId="23" fillId="0" borderId="12" xfId="0" applyFont="1" applyBorder="1" applyAlignment="1">
      <alignment horizontal="center" vertical="center" wrapText="1"/>
    </xf>
    <xf numFmtId="169" fontId="2" fillId="0" borderId="12" xfId="0" applyNumberFormat="1" applyFont="1" applyBorder="1" applyAlignment="1">
      <alignment horizontal="right" vertical="center" wrapText="1"/>
    </xf>
    <xf numFmtId="169" fontId="4" fillId="0" borderId="12" xfId="0" applyNumberFormat="1" applyFont="1" applyBorder="1" applyAlignment="1">
      <alignment horizontal="right" vertical="center" wrapText="1"/>
    </xf>
    <xf numFmtId="169" fontId="3" fillId="2" borderId="29" xfId="0" applyNumberFormat="1" applyFont="1" applyFill="1" applyBorder="1" applyAlignment="1">
      <alignment horizontal="right" vertical="center" wrapText="1"/>
    </xf>
    <xf numFmtId="0" fontId="4" fillId="0" borderId="28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169" fontId="8" fillId="0" borderId="12" xfId="0" applyNumberFormat="1" applyFont="1" applyBorder="1" applyAlignment="1">
      <alignment horizontal="right" vertical="center" wrapText="1"/>
    </xf>
    <xf numFmtId="169" fontId="6" fillId="2" borderId="29" xfId="0" applyNumberFormat="1" applyFont="1" applyFill="1" applyBorder="1" applyAlignment="1">
      <alignment horizontal="right" vertical="center" wrapText="1"/>
    </xf>
    <xf numFmtId="0" fontId="6" fillId="9" borderId="28" xfId="0" applyFont="1" applyFill="1" applyBorder="1" applyAlignment="1">
      <alignment vertical="center" wrapText="1"/>
    </xf>
    <xf numFmtId="0" fontId="25" fillId="9" borderId="12" xfId="0" applyFont="1" applyFill="1" applyBorder="1" applyAlignment="1">
      <alignment horizontal="center" vertical="center" wrapText="1"/>
    </xf>
    <xf numFmtId="169" fontId="7" fillId="9" borderId="12" xfId="0" applyNumberFormat="1" applyFont="1" applyFill="1" applyBorder="1" applyAlignment="1">
      <alignment horizontal="right" vertical="center" wrapText="1"/>
    </xf>
    <xf numFmtId="169" fontId="6" fillId="9" borderId="12" xfId="0" applyNumberFormat="1" applyFont="1" applyFill="1" applyBorder="1" applyAlignment="1">
      <alignment horizontal="right" vertical="center" wrapText="1"/>
    </xf>
    <xf numFmtId="169" fontId="6" fillId="9" borderId="29" xfId="0" applyNumberFormat="1" applyFont="1" applyFill="1" applyBorder="1" applyAlignment="1">
      <alignment horizontal="right" vertical="center" wrapText="1"/>
    </xf>
    <xf numFmtId="0" fontId="26" fillId="5" borderId="28" xfId="0" applyFont="1" applyFill="1" applyBorder="1" applyAlignment="1">
      <alignment vertical="center" wrapText="1"/>
    </xf>
    <xf numFmtId="169" fontId="13" fillId="5" borderId="12" xfId="0" applyNumberFormat="1" applyFont="1" applyFill="1" applyBorder="1"/>
    <xf numFmtId="169" fontId="13" fillId="5" borderId="29" xfId="0" applyNumberFormat="1" applyFont="1" applyFill="1" applyBorder="1"/>
    <xf numFmtId="0" fontId="6" fillId="10" borderId="28" xfId="0" applyFont="1" applyFill="1" applyBorder="1" applyAlignment="1">
      <alignment vertical="center" wrapText="1"/>
    </xf>
    <xf numFmtId="0" fontId="25" fillId="10" borderId="12" xfId="0" applyFont="1" applyFill="1" applyBorder="1" applyAlignment="1">
      <alignment horizontal="center" vertical="center" wrapText="1"/>
    </xf>
    <xf numFmtId="169" fontId="7" fillId="10" borderId="12" xfId="0" applyNumberFormat="1" applyFont="1" applyFill="1" applyBorder="1" applyAlignment="1">
      <alignment horizontal="right" vertical="center" wrapText="1"/>
    </xf>
    <xf numFmtId="169" fontId="6" fillId="10" borderId="12" xfId="0" applyNumberFormat="1" applyFont="1" applyFill="1" applyBorder="1" applyAlignment="1">
      <alignment horizontal="right" vertical="center" wrapText="1"/>
    </xf>
    <xf numFmtId="169" fontId="6" fillId="10" borderId="29" xfId="0" applyNumberFormat="1" applyFont="1" applyFill="1" applyBorder="1" applyAlignment="1">
      <alignment horizontal="right" vertical="center" wrapText="1"/>
    </xf>
    <xf numFmtId="169" fontId="26" fillId="5" borderId="12" xfId="0" applyNumberFormat="1" applyFont="1" applyFill="1" applyBorder="1" applyAlignment="1">
      <alignment horizontal="right" vertical="center" wrapText="1"/>
    </xf>
    <xf numFmtId="169" fontId="26" fillId="5" borderId="29" xfId="0" applyNumberFormat="1" applyFont="1" applyFill="1" applyBorder="1" applyAlignment="1">
      <alignment horizontal="right" vertical="center" wrapText="1"/>
    </xf>
    <xf numFmtId="169" fontId="2" fillId="0" borderId="12" xfId="0" applyNumberFormat="1" applyFont="1" applyBorder="1"/>
    <xf numFmtId="0" fontId="23" fillId="0" borderId="12" xfId="0" applyFont="1" applyBorder="1" applyAlignment="1">
      <alignment horizontal="center" vertical="center"/>
    </xf>
    <xf numFmtId="169" fontId="3" fillId="2" borderId="12" xfId="0" applyNumberFormat="1" applyFont="1" applyFill="1" applyBorder="1" applyAlignment="1">
      <alignment horizontal="right" vertical="center" wrapText="1"/>
    </xf>
    <xf numFmtId="15" fontId="25" fillId="9" borderId="12" xfId="0" applyNumberFormat="1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5" fillId="9" borderId="12" xfId="0" applyFont="1" applyFill="1" applyBorder="1" applyAlignment="1">
      <alignment horizontal="center"/>
    </xf>
    <xf numFmtId="0" fontId="6" fillId="10" borderId="30" xfId="0" applyFont="1" applyFill="1" applyBorder="1" applyAlignment="1">
      <alignment vertical="center" wrapText="1"/>
    </xf>
    <xf numFmtId="0" fontId="25" fillId="10" borderId="31" xfId="0" applyFont="1" applyFill="1" applyBorder="1" applyAlignment="1">
      <alignment horizontal="center"/>
    </xf>
    <xf numFmtId="169" fontId="7" fillId="10" borderId="31" xfId="0" applyNumberFormat="1" applyFont="1" applyFill="1" applyBorder="1" applyAlignment="1">
      <alignment horizontal="right" vertical="center" wrapText="1"/>
    </xf>
    <xf numFmtId="169" fontId="6" fillId="10" borderId="31" xfId="0" applyNumberFormat="1" applyFont="1" applyFill="1" applyBorder="1" applyAlignment="1">
      <alignment horizontal="right" vertical="center" wrapText="1"/>
    </xf>
    <xf numFmtId="169" fontId="6" fillId="10" borderId="32" xfId="0" applyNumberFormat="1" applyFont="1" applyFill="1" applyBorder="1" applyAlignment="1">
      <alignment horizontal="right" vertical="center" wrapText="1"/>
    </xf>
    <xf numFmtId="0" fontId="13" fillId="3" borderId="25" xfId="0" applyFont="1" applyFill="1" applyBorder="1"/>
    <xf numFmtId="0" fontId="13" fillId="3" borderId="26" xfId="0" applyFont="1" applyFill="1" applyBorder="1" applyAlignment="1">
      <alignment horizontal="center"/>
    </xf>
    <xf numFmtId="0" fontId="13" fillId="3" borderId="27" xfId="0" applyFont="1" applyFill="1" applyBorder="1" applyAlignment="1">
      <alignment horizontal="center"/>
    </xf>
    <xf numFmtId="0" fontId="26" fillId="5" borderId="28" xfId="0" applyFont="1" applyFill="1" applyBorder="1" applyAlignment="1">
      <alignment horizontal="left" vertical="center" wrapText="1"/>
    </xf>
    <xf numFmtId="0" fontId="13" fillId="5" borderId="12" xfId="0" applyFont="1" applyFill="1" applyBorder="1"/>
    <xf numFmtId="0" fontId="13" fillId="5" borderId="29" xfId="0" applyFont="1" applyFill="1" applyBorder="1"/>
    <xf numFmtId="0" fontId="3" fillId="0" borderId="28" xfId="0" applyFont="1" applyBorder="1" applyAlignment="1">
      <alignment vertical="center" wrapText="1"/>
    </xf>
    <xf numFmtId="169" fontId="2" fillId="0" borderId="29" xfId="0" applyNumberFormat="1" applyFont="1" applyBorder="1" applyAlignment="1">
      <alignment horizontal="right" vertical="center" wrapText="1"/>
    </xf>
    <xf numFmtId="169" fontId="5" fillId="0" borderId="29" xfId="0" applyNumberFormat="1" applyFont="1" applyBorder="1" applyAlignment="1">
      <alignment horizontal="right" vertical="center" wrapText="1"/>
    </xf>
    <xf numFmtId="169" fontId="7" fillId="10" borderId="32" xfId="0" applyNumberFormat="1" applyFont="1" applyFill="1" applyBorder="1" applyAlignment="1">
      <alignment horizontal="right" vertical="center" wrapText="1"/>
    </xf>
    <xf numFmtId="170" fontId="0" fillId="0" borderId="12" xfId="0" applyNumberFormat="1" applyBorder="1"/>
    <xf numFmtId="170" fontId="0" fillId="0" borderId="29" xfId="0" applyNumberFormat="1" applyBorder="1"/>
    <xf numFmtId="0" fontId="12" fillId="10" borderId="28" xfId="0" applyFont="1" applyFill="1" applyBorder="1"/>
    <xf numFmtId="169" fontId="12" fillId="10" borderId="12" xfId="0" applyNumberFormat="1" applyFont="1" applyFill="1" applyBorder="1"/>
    <xf numFmtId="0" fontId="12" fillId="10" borderId="12" xfId="0" applyFont="1" applyFill="1" applyBorder="1"/>
    <xf numFmtId="0" fontId="12" fillId="10" borderId="29" xfId="0" applyFont="1" applyFill="1" applyBorder="1"/>
    <xf numFmtId="0" fontId="0" fillId="0" borderId="29" xfId="0" applyBorder="1"/>
    <xf numFmtId="0" fontId="13" fillId="5" borderId="28" xfId="0" applyFont="1" applyFill="1" applyBorder="1"/>
    <xf numFmtId="171" fontId="0" fillId="0" borderId="12" xfId="0" applyNumberFormat="1" applyBorder="1"/>
    <xf numFmtId="171" fontId="12" fillId="9" borderId="12" xfId="0" applyNumberFormat="1" applyFont="1" applyFill="1" applyBorder="1"/>
    <xf numFmtId="0" fontId="12" fillId="9" borderId="12" xfId="0" applyFont="1" applyFill="1" applyBorder="1"/>
    <xf numFmtId="0" fontId="12" fillId="9" borderId="29" xfId="0" applyFont="1" applyFill="1" applyBorder="1"/>
    <xf numFmtId="171" fontId="12" fillId="10" borderId="12" xfId="0" applyNumberFormat="1" applyFont="1" applyFill="1" applyBorder="1"/>
    <xf numFmtId="3" fontId="0" fillId="0" borderId="12" xfId="0" applyNumberFormat="1" applyBorder="1"/>
    <xf numFmtId="0" fontId="12" fillId="12" borderId="28" xfId="0" applyFont="1" applyFill="1" applyBorder="1"/>
    <xf numFmtId="165" fontId="17" fillId="12" borderId="12" xfId="0" applyNumberFormat="1" applyFont="1" applyFill="1" applyBorder="1"/>
    <xf numFmtId="165" fontId="16" fillId="0" borderId="12" xfId="0" applyNumberFormat="1" applyFont="1" applyBorder="1"/>
    <xf numFmtId="0" fontId="12" fillId="0" borderId="30" xfId="0" applyFont="1" applyBorder="1"/>
    <xf numFmtId="168" fontId="18" fillId="0" borderId="31" xfId="1" applyNumberFormat="1" applyFont="1" applyBorder="1"/>
    <xf numFmtId="0" fontId="0" fillId="0" borderId="31" xfId="0" applyBorder="1"/>
    <xf numFmtId="0" fontId="0" fillId="0" borderId="32" xfId="0" applyBorder="1"/>
    <xf numFmtId="165" fontId="27" fillId="3" borderId="28" xfId="0" applyNumberFormat="1" applyFont="1" applyFill="1" applyBorder="1" applyAlignment="1">
      <alignment horizontal="center"/>
    </xf>
    <xf numFmtId="166" fontId="13" fillId="5" borderId="12" xfId="0" applyNumberFormat="1" applyFont="1" applyFill="1" applyBorder="1" applyAlignment="1">
      <alignment horizontal="center"/>
    </xf>
    <xf numFmtId="166" fontId="13" fillId="5" borderId="29" xfId="0" applyNumberFormat="1" applyFont="1" applyFill="1" applyBorder="1" applyAlignment="1">
      <alignment horizontal="center"/>
    </xf>
    <xf numFmtId="166" fontId="13" fillId="5" borderId="28" xfId="0" applyNumberFormat="1" applyFon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12" fillId="12" borderId="12" xfId="0" applyNumberFormat="1" applyFont="1" applyFill="1" applyBorder="1" applyAlignment="1">
      <alignment horizontal="center"/>
    </xf>
    <xf numFmtId="166" fontId="13" fillId="5" borderId="30" xfId="0" applyNumberFormat="1" applyFont="1" applyFill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7" fontId="13" fillId="5" borderId="12" xfId="0" applyNumberFormat="1" applyFont="1" applyFill="1" applyBorder="1" applyAlignment="1">
      <alignment horizontal="center"/>
    </xf>
    <xf numFmtId="167" fontId="13" fillId="5" borderId="29" xfId="0" applyNumberFormat="1" applyFont="1" applyFill="1" applyBorder="1" applyAlignment="1">
      <alignment horizontal="center"/>
    </xf>
    <xf numFmtId="0" fontId="28" fillId="0" borderId="0" xfId="0" applyFont="1"/>
    <xf numFmtId="10" fontId="28" fillId="0" borderId="0" xfId="0" applyNumberFormat="1" applyFont="1"/>
    <xf numFmtId="9" fontId="28" fillId="0" borderId="0" xfId="1" applyFont="1"/>
    <xf numFmtId="9" fontId="28" fillId="0" borderId="0" xfId="0" applyNumberFormat="1" applyFont="1"/>
    <xf numFmtId="167" fontId="28" fillId="0" borderId="0" xfId="0" applyNumberFormat="1" applyFont="1"/>
    <xf numFmtId="0" fontId="13" fillId="3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1F14CB-BC5F-4293-8828-C5918510EEE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4fcdd0f-16c5-4431-aad0-9275a344b0f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8" sqref="B18"/>
    </sheetView>
  </sheetViews>
  <sheetFormatPr defaultRowHeight="15" x14ac:dyDescent="0.25"/>
  <cols>
    <col min="1" max="1" width="64.7109375" customWidth="1"/>
    <col min="2" max="2" width="29.5703125" customWidth="1"/>
  </cols>
  <sheetData>
    <row r="1" spans="1:2" ht="36" customHeight="1" x14ac:dyDescent="0.25">
      <c r="A1" s="5" t="s">
        <v>103</v>
      </c>
      <c r="B1" s="5"/>
    </row>
    <row r="2" spans="1:2" ht="5.0999999999999996" customHeight="1" x14ac:dyDescent="0.25">
      <c r="A2" s="6"/>
      <c r="B2" s="4"/>
    </row>
    <row r="3" spans="1:2" ht="20.100000000000001" customHeight="1" x14ac:dyDescent="0.25">
      <c r="A3" s="3" t="s">
        <v>115</v>
      </c>
      <c r="B3" t="s">
        <v>104</v>
      </c>
    </row>
    <row r="4" spans="1:2" ht="20.100000000000001" customHeight="1" x14ac:dyDescent="0.25">
      <c r="A4" s="3" t="s">
        <v>116</v>
      </c>
      <c r="B4" s="7">
        <v>46174</v>
      </c>
    </row>
    <row r="5" spans="1:2" ht="30" customHeight="1" x14ac:dyDescent="0.25">
      <c r="A5" s="8" t="s">
        <v>105</v>
      </c>
      <c r="B5" s="8"/>
    </row>
    <row r="6" spans="1:2" ht="27.95" customHeight="1" x14ac:dyDescent="0.25">
      <c r="A6" s="9" t="s">
        <v>106</v>
      </c>
      <c r="B6" s="9"/>
    </row>
    <row r="7" spans="1:2" ht="8.1" customHeight="1" x14ac:dyDescent="0.25"/>
    <row r="8" spans="1:2" ht="21.95" customHeight="1" x14ac:dyDescent="0.25">
      <c r="A8" s="10" t="s">
        <v>117</v>
      </c>
      <c r="B8" s="10"/>
    </row>
    <row r="9" spans="1:2" ht="18" customHeight="1" x14ac:dyDescent="0.25">
      <c r="A9" t="s">
        <v>118</v>
      </c>
    </row>
    <row r="10" spans="1:2" ht="18" customHeight="1" x14ac:dyDescent="0.25">
      <c r="A10" t="s">
        <v>119</v>
      </c>
    </row>
    <row r="11" spans="1:2" ht="18" customHeight="1" x14ac:dyDescent="0.25">
      <c r="A11" t="s">
        <v>120</v>
      </c>
    </row>
    <row r="12" spans="1:2" ht="18" customHeight="1" x14ac:dyDescent="0.25">
      <c r="A12" s="3" t="s">
        <v>121</v>
      </c>
    </row>
    <row r="13" spans="1:2" ht="8.1" customHeight="1" x14ac:dyDescent="0.25"/>
    <row r="14" spans="1:2" ht="21.95" customHeight="1" x14ac:dyDescent="0.25">
      <c r="A14" s="11" t="s">
        <v>122</v>
      </c>
      <c r="B14" s="12"/>
    </row>
    <row r="15" spans="1:2" ht="24" customHeight="1" x14ac:dyDescent="0.25">
      <c r="A15" s="13" t="s">
        <v>123</v>
      </c>
      <c r="B15" s="14">
        <f>DCF!B19</f>
        <v>16.779112002192175</v>
      </c>
    </row>
    <row r="16" spans="1:2" ht="24" customHeight="1" x14ac:dyDescent="0.25">
      <c r="A16" s="13" t="s">
        <v>124</v>
      </c>
      <c r="B16" s="14">
        <v>10.87</v>
      </c>
    </row>
    <row r="17" spans="1:2" ht="24" customHeight="1" x14ac:dyDescent="0.25">
      <c r="A17" s="15" t="s">
        <v>125</v>
      </c>
      <c r="B17" s="16">
        <f>DCF!B21</f>
        <v>0.54361655953929866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EADC-906B-465F-AFEA-8334A85284E9}">
  <dimension ref="A1:I18"/>
  <sheetViews>
    <sheetView topLeftCell="A2" workbookViewId="0">
      <selection activeCell="B18" sqref="B18"/>
    </sheetView>
  </sheetViews>
  <sheetFormatPr defaultRowHeight="15" x14ac:dyDescent="0.25"/>
  <cols>
    <col min="1" max="1" width="42.85546875" customWidth="1"/>
    <col min="2" max="9" width="17.140625" customWidth="1"/>
  </cols>
  <sheetData>
    <row r="1" spans="1:9" ht="20.100000000000001" customHeight="1" x14ac:dyDescent="0.25">
      <c r="A1" s="38" t="s">
        <v>128</v>
      </c>
      <c r="B1" s="39"/>
      <c r="C1" s="39"/>
      <c r="D1" s="39"/>
      <c r="E1" s="39"/>
      <c r="F1" s="39"/>
      <c r="G1" s="39"/>
      <c r="H1" s="39"/>
      <c r="I1" s="40"/>
    </row>
    <row r="2" spans="1:9" ht="20.100000000000001" customHeight="1" x14ac:dyDescent="0.25">
      <c r="A2" s="41"/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6</v>
      </c>
      <c r="I2" s="43" t="s">
        <v>7</v>
      </c>
    </row>
    <row r="3" spans="1:9" ht="20.100000000000001" customHeight="1" x14ac:dyDescent="0.25">
      <c r="A3" s="44" t="s">
        <v>18</v>
      </c>
      <c r="B3" s="45">
        <v>0</v>
      </c>
      <c r="C3" s="45">
        <v>0.46473760630574557</v>
      </c>
      <c r="D3" s="45">
        <v>0.16476669262904486</v>
      </c>
      <c r="E3" s="46">
        <v>0.18</v>
      </c>
      <c r="F3" s="46">
        <v>0.16</v>
      </c>
      <c r="G3" s="46">
        <v>0.14000000000000001</v>
      </c>
      <c r="H3" s="46">
        <v>0.12</v>
      </c>
      <c r="I3" s="47">
        <v>0.1</v>
      </c>
    </row>
    <row r="4" spans="1:9" ht="20.100000000000001" customHeight="1" x14ac:dyDescent="0.25">
      <c r="A4" s="44" t="s">
        <v>19</v>
      </c>
      <c r="B4" s="45">
        <v>0.66189587222567936</v>
      </c>
      <c r="C4" s="45">
        <v>0.77349005168873475</v>
      </c>
      <c r="D4" s="45">
        <v>0.79501519756838901</v>
      </c>
      <c r="E4" s="48"/>
      <c r="F4" s="48"/>
      <c r="G4" s="48"/>
      <c r="H4" s="48"/>
      <c r="I4" s="49"/>
    </row>
    <row r="5" spans="1:9" ht="20.100000000000001" customHeight="1" x14ac:dyDescent="0.25">
      <c r="A5" s="44" t="s">
        <v>20</v>
      </c>
      <c r="B5" s="45">
        <v>0.16303671437461106</v>
      </c>
      <c r="C5" s="45">
        <v>0.35537775260213833</v>
      </c>
      <c r="D5" s="45">
        <v>0.35234042553191491</v>
      </c>
      <c r="E5" s="46">
        <v>0.33</v>
      </c>
      <c r="F5" s="46">
        <v>0.34</v>
      </c>
      <c r="G5" s="46">
        <v>0.35</v>
      </c>
      <c r="H5" s="46">
        <v>0.36</v>
      </c>
      <c r="I5" s="47">
        <v>0.37</v>
      </c>
    </row>
    <row r="6" spans="1:9" ht="20.100000000000001" customHeight="1" x14ac:dyDescent="0.25">
      <c r="A6" s="44" t="s">
        <v>21</v>
      </c>
      <c r="B6" s="45">
        <v>0.11823273179838208</v>
      </c>
      <c r="C6" s="45">
        <v>0.25107979890958015</v>
      </c>
      <c r="D6" s="45">
        <v>0.25331306990881458</v>
      </c>
      <c r="E6" s="48"/>
      <c r="F6" s="48"/>
      <c r="G6" s="48"/>
      <c r="H6" s="48"/>
      <c r="I6" s="49"/>
    </row>
    <row r="7" spans="1:9" ht="20.100000000000001" customHeight="1" x14ac:dyDescent="0.25">
      <c r="A7" s="44" t="s">
        <v>22</v>
      </c>
      <c r="B7" s="45">
        <v>-3.3706699854801909E-2</v>
      </c>
      <c r="C7" s="45">
        <v>-8.97826240883665E-2</v>
      </c>
      <c r="D7" s="45">
        <v>-9.0030395136778116E-2</v>
      </c>
      <c r="E7" s="46">
        <v>0.26</v>
      </c>
      <c r="F7" s="46">
        <v>0.26</v>
      </c>
      <c r="G7" s="46">
        <v>0.26</v>
      </c>
      <c r="H7" s="46">
        <v>0.26</v>
      </c>
      <c r="I7" s="47">
        <v>0.26</v>
      </c>
    </row>
    <row r="8" spans="1:9" ht="20.100000000000001" customHeight="1" x14ac:dyDescent="0.25">
      <c r="A8" s="50" t="s">
        <v>129</v>
      </c>
      <c r="B8" s="51"/>
      <c r="C8" s="51"/>
      <c r="D8" s="51"/>
      <c r="E8" s="51"/>
      <c r="F8" s="51"/>
      <c r="G8" s="51"/>
      <c r="H8" s="51"/>
      <c r="I8" s="52"/>
    </row>
    <row r="9" spans="1:9" ht="20.100000000000001" customHeight="1" x14ac:dyDescent="0.25">
      <c r="A9" s="44" t="s">
        <v>73</v>
      </c>
      <c r="B9" s="53">
        <v>4.2000000000000003E-2</v>
      </c>
      <c r="C9" s="54"/>
      <c r="D9" s="54"/>
      <c r="E9" s="54"/>
      <c r="F9" s="54"/>
      <c r="G9" s="54"/>
      <c r="H9" s="54"/>
      <c r="I9" s="55"/>
    </row>
    <row r="10" spans="1:9" ht="20.100000000000001" customHeight="1" x14ac:dyDescent="0.25">
      <c r="A10" s="44" t="s">
        <v>74</v>
      </c>
      <c r="B10" s="53">
        <v>5.5E-2</v>
      </c>
      <c r="C10" s="54"/>
      <c r="D10" s="54"/>
      <c r="E10" s="54"/>
      <c r="F10" s="54"/>
      <c r="G10" s="54"/>
      <c r="H10" s="54"/>
      <c r="I10" s="55"/>
    </row>
    <row r="11" spans="1:9" ht="20.100000000000001" customHeight="1" x14ac:dyDescent="0.25">
      <c r="A11" s="44" t="s">
        <v>75</v>
      </c>
      <c r="B11" s="56">
        <v>0.9</v>
      </c>
      <c r="C11" s="54"/>
      <c r="D11" s="54"/>
      <c r="E11" s="54"/>
      <c r="F11" s="54"/>
      <c r="G11" s="54"/>
      <c r="H11" s="54"/>
      <c r="I11" s="55"/>
    </row>
    <row r="12" spans="1:9" ht="20.100000000000001" customHeight="1" x14ac:dyDescent="0.25">
      <c r="A12" s="44" t="s">
        <v>76</v>
      </c>
      <c r="B12" s="57">
        <f>B9+(B11*B10)</f>
        <v>9.1499999999999998E-2</v>
      </c>
      <c r="C12" s="54"/>
      <c r="D12" s="54"/>
      <c r="E12" s="54"/>
      <c r="F12" s="54"/>
      <c r="G12" s="54"/>
      <c r="H12" s="54"/>
      <c r="I12" s="55"/>
    </row>
    <row r="13" spans="1:9" ht="20.100000000000001" customHeight="1" x14ac:dyDescent="0.25">
      <c r="A13" s="44" t="s">
        <v>77</v>
      </c>
      <c r="B13" s="53">
        <v>4.4999999999999998E-2</v>
      </c>
      <c r="C13" s="54"/>
      <c r="D13" s="54"/>
      <c r="E13" s="54"/>
      <c r="F13" s="54"/>
      <c r="G13" s="54"/>
      <c r="H13" s="54"/>
      <c r="I13" s="55"/>
    </row>
    <row r="14" spans="1:9" ht="20.100000000000001" customHeight="1" x14ac:dyDescent="0.25">
      <c r="A14" s="44" t="s">
        <v>78</v>
      </c>
      <c r="B14" s="58">
        <v>0.26</v>
      </c>
      <c r="C14" s="54"/>
      <c r="D14" s="54"/>
      <c r="E14" s="54"/>
      <c r="F14" s="54"/>
      <c r="G14" s="54"/>
      <c r="H14" s="54"/>
      <c r="I14" s="55"/>
    </row>
    <row r="15" spans="1:9" ht="20.100000000000001" customHeight="1" x14ac:dyDescent="0.25">
      <c r="A15" s="44" t="s">
        <v>79</v>
      </c>
      <c r="B15" s="59">
        <f>BS!E21/(BS!E21+BS!E39)</f>
        <v>0.14532338615204388</v>
      </c>
      <c r="C15" s="54"/>
      <c r="D15" s="54"/>
      <c r="E15" s="54"/>
      <c r="F15" s="54"/>
      <c r="G15" s="54"/>
      <c r="H15" s="54"/>
      <c r="I15" s="55"/>
    </row>
    <row r="16" spans="1:9" ht="20.100000000000001" customHeight="1" x14ac:dyDescent="0.25">
      <c r="A16" s="60" t="s">
        <v>80</v>
      </c>
      <c r="B16" s="61">
        <f>Sensitivity!B16</f>
        <v>8.4742462543930003E-2</v>
      </c>
      <c r="C16" s="62">
        <f>(B15*B13)+((1-B15)*B12)</f>
        <v>8.4742462543929961E-2</v>
      </c>
      <c r="D16" s="54"/>
      <c r="E16" s="54"/>
      <c r="F16" s="54"/>
      <c r="G16" s="54"/>
      <c r="H16" s="54"/>
      <c r="I16" s="55"/>
    </row>
    <row r="17" spans="1:9" ht="20.100000000000001" customHeight="1" x14ac:dyDescent="0.25">
      <c r="A17" s="44" t="s">
        <v>81</v>
      </c>
      <c r="B17" s="53">
        <f>Sensitivity!B17</f>
        <v>0.03</v>
      </c>
      <c r="C17" s="54"/>
      <c r="D17" s="54"/>
      <c r="E17" s="54"/>
      <c r="F17" s="54"/>
      <c r="G17" s="54"/>
      <c r="H17" s="54"/>
      <c r="I17" s="55"/>
    </row>
    <row r="18" spans="1:9" ht="20.100000000000001" customHeight="1" x14ac:dyDescent="0.25">
      <c r="A18" s="63" t="s">
        <v>82</v>
      </c>
      <c r="B18" s="64">
        <f>Sensitivity!J17</f>
        <v>0</v>
      </c>
      <c r="C18" s="65"/>
      <c r="D18" s="65"/>
      <c r="E18" s="65"/>
      <c r="F18" s="65"/>
      <c r="G18" s="65"/>
      <c r="H18" s="65"/>
      <c r="I18" s="6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B0E7-76AD-4469-9216-C2935EC76D1E}">
  <dimension ref="A1:I18"/>
  <sheetViews>
    <sheetView topLeftCell="B2" workbookViewId="0">
      <selection activeCell="A14" sqref="A14:D18"/>
    </sheetView>
  </sheetViews>
  <sheetFormatPr defaultRowHeight="15" x14ac:dyDescent="0.25"/>
  <cols>
    <col min="1" max="1" width="39" customWidth="1"/>
    <col min="2" max="9" width="17.140625" customWidth="1"/>
  </cols>
  <sheetData>
    <row r="1" spans="1:9" ht="21.95" customHeight="1" x14ac:dyDescent="0.25">
      <c r="A1" s="72"/>
      <c r="B1" s="73" t="s">
        <v>0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74" t="s">
        <v>7</v>
      </c>
    </row>
    <row r="2" spans="1:9" ht="20.100000000000001" customHeight="1" x14ac:dyDescent="0.25">
      <c r="A2" s="75" t="s">
        <v>8</v>
      </c>
      <c r="B2" s="76">
        <v>964.2</v>
      </c>
      <c r="C2" s="76">
        <v>1412.3</v>
      </c>
      <c r="D2" s="76">
        <v>1645</v>
      </c>
      <c r="E2" s="76">
        <f>D2*(1+Assumptions!E3)</f>
        <v>1941.1</v>
      </c>
      <c r="F2" s="76">
        <f>E2*(1+Assumptions!F3)</f>
        <v>2251.6759999999999</v>
      </c>
      <c r="G2" s="76">
        <f>F2*(1+Assumptions!G3)</f>
        <v>2566.9106400000001</v>
      </c>
      <c r="H2" s="76">
        <f>G2*(1+Assumptions!H3)</f>
        <v>2874.9399168000004</v>
      </c>
      <c r="I2" s="77">
        <f>H2*(1+Assumptions!I3)</f>
        <v>3162.4339084800008</v>
      </c>
    </row>
    <row r="3" spans="1:9" ht="20.100000000000001" customHeight="1" x14ac:dyDescent="0.25">
      <c r="A3" s="75" t="s">
        <v>9</v>
      </c>
      <c r="B3" s="76">
        <v>-308.2</v>
      </c>
      <c r="C3" s="76">
        <v>-307.39999999999998</v>
      </c>
      <c r="D3" s="76">
        <v>-328.1</v>
      </c>
      <c r="E3" s="76"/>
      <c r="F3" s="76"/>
      <c r="G3" s="76"/>
      <c r="H3" s="76"/>
      <c r="I3" s="77"/>
    </row>
    <row r="4" spans="1:9" ht="20.100000000000001" customHeight="1" x14ac:dyDescent="0.25">
      <c r="A4" s="75" t="s">
        <v>10</v>
      </c>
      <c r="B4" s="76">
        <v>-17.8</v>
      </c>
      <c r="C4" s="76">
        <v>-12.5</v>
      </c>
      <c r="D4" s="76">
        <v>-9.1</v>
      </c>
      <c r="E4" s="76"/>
      <c r="F4" s="76"/>
      <c r="G4" s="76"/>
      <c r="H4" s="76"/>
      <c r="I4" s="77"/>
    </row>
    <row r="5" spans="1:9" ht="20.100000000000001" customHeight="1" x14ac:dyDescent="0.25">
      <c r="A5" s="78" t="s">
        <v>11</v>
      </c>
      <c r="B5" s="79">
        <v>638.20000000000005</v>
      </c>
      <c r="C5" s="79">
        <v>1092.4000000000001</v>
      </c>
      <c r="D5" s="79">
        <v>1307.8</v>
      </c>
      <c r="E5" s="79"/>
      <c r="F5" s="79"/>
      <c r="G5" s="79"/>
      <c r="H5" s="79"/>
      <c r="I5" s="80"/>
    </row>
    <row r="6" spans="1:9" ht="20.100000000000001" customHeight="1" x14ac:dyDescent="0.25">
      <c r="A6" s="75" t="s">
        <v>12</v>
      </c>
      <c r="B6" s="76">
        <v>-494.5</v>
      </c>
      <c r="C6" s="76">
        <v>-615.9</v>
      </c>
      <c r="D6" s="76">
        <v>-768.6</v>
      </c>
      <c r="E6" s="76"/>
      <c r="F6" s="76"/>
      <c r="G6" s="76"/>
      <c r="H6" s="76"/>
      <c r="I6" s="77"/>
    </row>
    <row r="7" spans="1:9" ht="20.100000000000001" customHeight="1" x14ac:dyDescent="0.25">
      <c r="A7" s="78" t="s">
        <v>13</v>
      </c>
      <c r="B7" s="79">
        <v>157.19999999999999</v>
      </c>
      <c r="C7" s="79">
        <v>501.9</v>
      </c>
      <c r="D7" s="79">
        <v>579.6</v>
      </c>
      <c r="E7" s="79">
        <f>E2*Assumptions!E5</f>
        <v>640.56299999999999</v>
      </c>
      <c r="F7" s="79">
        <f>F2*Assumptions!F5</f>
        <v>765.56984</v>
      </c>
      <c r="G7" s="79">
        <f>G2*Assumptions!G5</f>
        <v>898.418724</v>
      </c>
      <c r="H7" s="79">
        <f>H2*Assumptions!H5</f>
        <v>1034.9783700480002</v>
      </c>
      <c r="I7" s="80">
        <f>I2*Assumptions!I5</f>
        <v>1170.1005461376003</v>
      </c>
    </row>
    <row r="8" spans="1:9" ht="20.100000000000001" customHeight="1" x14ac:dyDescent="0.25">
      <c r="A8" s="75" t="s">
        <v>14</v>
      </c>
      <c r="B8" s="76">
        <v>-10.7</v>
      </c>
      <c r="C8" s="76">
        <v>-20.5</v>
      </c>
      <c r="D8" s="76">
        <v>-14.8</v>
      </c>
      <c r="E8" s="76"/>
      <c r="F8" s="76"/>
      <c r="G8" s="76"/>
      <c r="H8" s="76"/>
      <c r="I8" s="77">
        <f>I3*Assumptions!I6</f>
        <v>0</v>
      </c>
    </row>
    <row r="9" spans="1:9" ht="20.100000000000001" customHeight="1" x14ac:dyDescent="0.25">
      <c r="A9" s="78" t="s">
        <v>15</v>
      </c>
      <c r="B9" s="79">
        <v>146.5</v>
      </c>
      <c r="C9" s="79">
        <v>481.4</v>
      </c>
      <c r="D9" s="79">
        <v>564.79999999999995</v>
      </c>
      <c r="E9" s="79">
        <f>E7</f>
        <v>640.56299999999999</v>
      </c>
      <c r="F9" s="79">
        <f t="shared" ref="F9:I9" si="0">F7</f>
        <v>765.56984</v>
      </c>
      <c r="G9" s="79">
        <f t="shared" si="0"/>
        <v>898.418724</v>
      </c>
      <c r="H9" s="79">
        <f t="shared" si="0"/>
        <v>1034.9783700480002</v>
      </c>
      <c r="I9" s="80">
        <f t="shared" si="0"/>
        <v>1170.1005461376003</v>
      </c>
    </row>
    <row r="10" spans="1:9" ht="20.100000000000001" customHeight="1" x14ac:dyDescent="0.25">
      <c r="A10" s="75" t="s">
        <v>16</v>
      </c>
      <c r="B10" s="76">
        <v>-32.5</v>
      </c>
      <c r="C10" s="76">
        <v>-126.8</v>
      </c>
      <c r="D10" s="76">
        <v>-148.1</v>
      </c>
      <c r="E10" s="76">
        <f>E9*Assumptions!$B$14</f>
        <v>166.54638</v>
      </c>
      <c r="F10" s="76">
        <f>F9*Assumptions!$B$14</f>
        <v>199.04815840000001</v>
      </c>
      <c r="G10" s="76">
        <f>G9*Assumptions!$B$14</f>
        <v>233.58886824000001</v>
      </c>
      <c r="H10" s="76">
        <f>H9*Assumptions!$B$14</f>
        <v>269.09437621248009</v>
      </c>
      <c r="I10" s="77">
        <f>I9*Assumptions!$B$14</f>
        <v>304.22614199577612</v>
      </c>
    </row>
    <row r="11" spans="1:9" ht="20.100000000000001" customHeight="1" thickBot="1" x14ac:dyDescent="0.3">
      <c r="A11" s="81" t="s">
        <v>17</v>
      </c>
      <c r="B11" s="82">
        <v>114</v>
      </c>
      <c r="C11" s="82">
        <v>354.6</v>
      </c>
      <c r="D11" s="82">
        <v>416.7</v>
      </c>
      <c r="E11" s="82">
        <f>E9-E10</f>
        <v>474.01661999999999</v>
      </c>
      <c r="F11" s="82">
        <f t="shared" ref="F11:I11" si="1">F9-F10</f>
        <v>566.52168159999997</v>
      </c>
      <c r="G11" s="82">
        <f t="shared" si="1"/>
        <v>664.82985575999999</v>
      </c>
      <c r="H11" s="82">
        <f t="shared" si="1"/>
        <v>765.88399383552019</v>
      </c>
      <c r="I11" s="83">
        <f t="shared" si="1"/>
        <v>865.87440414182424</v>
      </c>
    </row>
    <row r="12" spans="1:9" ht="6" customHeight="1" x14ac:dyDescent="0.25"/>
    <row r="13" spans="1:9" ht="6" customHeight="1" x14ac:dyDescent="0.25"/>
    <row r="14" spans="1:9" ht="18" customHeight="1" x14ac:dyDescent="0.25">
      <c r="A14" s="67" t="s">
        <v>18</v>
      </c>
      <c r="B14" s="70">
        <f ca="1">-B14</f>
        <v>0</v>
      </c>
      <c r="C14" s="70">
        <f>(C2-B2)/B2</f>
        <v>0.46473760630574557</v>
      </c>
      <c r="D14" s="70">
        <f>(D2-C2)/C2</f>
        <v>0.16476669262904486</v>
      </c>
      <c r="E14" s="71"/>
      <c r="F14" s="71"/>
      <c r="G14" s="71"/>
      <c r="H14" s="71"/>
      <c r="I14" s="71"/>
    </row>
    <row r="15" spans="1:9" ht="18" customHeight="1" x14ac:dyDescent="0.25">
      <c r="A15" s="67" t="s">
        <v>19</v>
      </c>
      <c r="B15" s="68">
        <f>B5/B2</f>
        <v>0.66189587222567936</v>
      </c>
      <c r="C15" s="68">
        <f t="shared" ref="C15:D15" si="2">C5/C2</f>
        <v>0.77349005168873475</v>
      </c>
      <c r="D15" s="68">
        <f t="shared" si="2"/>
        <v>0.79501519756838901</v>
      </c>
      <c r="E15" s="69"/>
      <c r="F15" s="69"/>
      <c r="G15" s="69"/>
      <c r="H15" s="69"/>
      <c r="I15" s="69"/>
    </row>
    <row r="16" spans="1:9" ht="18" customHeight="1" x14ac:dyDescent="0.25">
      <c r="A16" s="67" t="s">
        <v>20</v>
      </c>
      <c r="B16" s="68">
        <f>B7/B2</f>
        <v>0.16303671437461106</v>
      </c>
      <c r="C16" s="68">
        <f t="shared" ref="C16:D16" si="3">C7/C2</f>
        <v>0.35537775260213833</v>
      </c>
      <c r="D16" s="68">
        <f t="shared" si="3"/>
        <v>0.35234042553191491</v>
      </c>
      <c r="E16" s="69"/>
      <c r="F16" s="69"/>
      <c r="G16" s="69"/>
      <c r="H16" s="69"/>
      <c r="I16" s="69"/>
    </row>
    <row r="17" spans="1:9" ht="18" customHeight="1" x14ac:dyDescent="0.25">
      <c r="A17" s="67" t="s">
        <v>21</v>
      </c>
      <c r="B17" s="68">
        <f>B11/B2</f>
        <v>0.11823273179838208</v>
      </c>
      <c r="C17" s="68">
        <f t="shared" ref="C17:D17" si="4">C11/C2</f>
        <v>0.25107979890958015</v>
      </c>
      <c r="D17" s="68">
        <f t="shared" si="4"/>
        <v>0.25331306990881458</v>
      </c>
      <c r="E17" s="69"/>
      <c r="F17" s="69"/>
      <c r="G17" s="69"/>
      <c r="H17" s="69"/>
      <c r="I17" s="69"/>
    </row>
    <row r="18" spans="1:9" ht="18" customHeight="1" x14ac:dyDescent="0.25">
      <c r="A18" s="67" t="s">
        <v>22</v>
      </c>
      <c r="B18" s="68">
        <f>B10/B2</f>
        <v>-3.3706699854801909E-2</v>
      </c>
      <c r="C18" s="68">
        <f t="shared" ref="C18:D18" si="5">C10/C2</f>
        <v>-8.97826240883665E-2</v>
      </c>
      <c r="D18" s="68">
        <f t="shared" si="5"/>
        <v>-9.0030395136778116E-2</v>
      </c>
      <c r="E18" s="69"/>
      <c r="F18" s="69"/>
      <c r="G18" s="69"/>
      <c r="H18" s="69"/>
      <c r="I18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BE31-657E-4BF0-BF36-88ADE8BD565C}">
  <dimension ref="A1:L40"/>
  <sheetViews>
    <sheetView topLeftCell="C6" workbookViewId="0">
      <selection activeCell="H25" sqref="H25"/>
    </sheetView>
  </sheetViews>
  <sheetFormatPr defaultRowHeight="15" x14ac:dyDescent="0.25"/>
  <cols>
    <col min="1" max="1" width="43.85546875" customWidth="1"/>
    <col min="2" max="2" width="8" customWidth="1"/>
    <col min="3" max="5" width="16.7109375" customWidth="1"/>
    <col min="6" max="8" width="3.42578125" customWidth="1"/>
  </cols>
  <sheetData>
    <row r="1" spans="1:5" ht="21.95" customHeight="1" x14ac:dyDescent="0.25">
      <c r="A1" s="72"/>
      <c r="B1" s="73" t="s">
        <v>130</v>
      </c>
      <c r="C1" s="73">
        <v>2023</v>
      </c>
      <c r="D1" s="73">
        <v>2024</v>
      </c>
      <c r="E1" s="74">
        <v>2025</v>
      </c>
    </row>
    <row r="2" spans="1:5" ht="18" customHeight="1" x14ac:dyDescent="0.25">
      <c r="A2" s="84" t="s">
        <v>38</v>
      </c>
      <c r="B2" s="85">
        <v>10</v>
      </c>
      <c r="C2" s="86">
        <v>113.2</v>
      </c>
      <c r="D2" s="87">
        <v>103</v>
      </c>
      <c r="E2" s="88">
        <v>84.7</v>
      </c>
    </row>
    <row r="3" spans="1:5" ht="18" customHeight="1" x14ac:dyDescent="0.25">
      <c r="A3" s="89" t="s">
        <v>39</v>
      </c>
      <c r="B3" s="85">
        <v>12</v>
      </c>
      <c r="C3" s="86">
        <v>21.1</v>
      </c>
      <c r="D3" s="87">
        <v>34.299999999999997</v>
      </c>
      <c r="E3" s="88">
        <v>115.9</v>
      </c>
    </row>
    <row r="4" spans="1:5" ht="18" customHeight="1" x14ac:dyDescent="0.25">
      <c r="A4" s="89" t="s">
        <v>40</v>
      </c>
      <c r="B4" s="85">
        <v>13</v>
      </c>
      <c r="C4" s="86">
        <v>11.4</v>
      </c>
      <c r="D4" s="87">
        <v>6.5</v>
      </c>
      <c r="E4" s="88">
        <v>4</v>
      </c>
    </row>
    <row r="5" spans="1:5" ht="18" customHeight="1" x14ac:dyDescent="0.25">
      <c r="A5" s="90" t="s">
        <v>41</v>
      </c>
      <c r="B5" s="91">
        <v>14</v>
      </c>
      <c r="C5" s="86">
        <v>17.899999999999999</v>
      </c>
      <c r="D5" s="92">
        <v>32.1</v>
      </c>
      <c r="E5" s="93">
        <v>38.799999999999997</v>
      </c>
    </row>
    <row r="6" spans="1:5" ht="18" customHeight="1" x14ac:dyDescent="0.25">
      <c r="A6" s="94" t="s">
        <v>42</v>
      </c>
      <c r="B6" s="95"/>
      <c r="C6" s="96">
        <v>163.6</v>
      </c>
      <c r="D6" s="97">
        <v>175.9</v>
      </c>
      <c r="E6" s="98">
        <v>243.4</v>
      </c>
    </row>
    <row r="7" spans="1:5" ht="18" customHeight="1" x14ac:dyDescent="0.25">
      <c r="A7" s="99" t="s">
        <v>43</v>
      </c>
      <c r="B7" s="173"/>
      <c r="C7" s="100"/>
      <c r="D7" s="100"/>
      <c r="E7" s="101"/>
    </row>
    <row r="8" spans="1:5" ht="18" customHeight="1" x14ac:dyDescent="0.25">
      <c r="A8" s="89" t="s">
        <v>44</v>
      </c>
      <c r="B8" s="174"/>
      <c r="C8" s="86">
        <v>6.7</v>
      </c>
      <c r="D8" s="87">
        <v>4</v>
      </c>
      <c r="E8" s="88">
        <v>15</v>
      </c>
    </row>
    <row r="9" spans="1:5" ht="18" customHeight="1" x14ac:dyDescent="0.25">
      <c r="A9" s="89" t="s">
        <v>41</v>
      </c>
      <c r="B9" s="85">
        <v>14</v>
      </c>
      <c r="C9" s="86">
        <v>250</v>
      </c>
      <c r="D9" s="87">
        <v>442.8</v>
      </c>
      <c r="E9" s="88">
        <v>347.6</v>
      </c>
    </row>
    <row r="10" spans="1:5" ht="18" customHeight="1" x14ac:dyDescent="0.25">
      <c r="A10" s="89" t="s">
        <v>45</v>
      </c>
      <c r="B10" s="85">
        <v>19</v>
      </c>
      <c r="C10" s="86">
        <v>3804.5</v>
      </c>
      <c r="D10" s="87">
        <v>4033.9</v>
      </c>
      <c r="E10" s="88">
        <v>4654.8999999999996</v>
      </c>
    </row>
    <row r="11" spans="1:5" ht="18" customHeight="1" x14ac:dyDescent="0.25">
      <c r="A11" s="89" t="s">
        <v>46</v>
      </c>
      <c r="B11" s="85">
        <v>19</v>
      </c>
      <c r="C11" s="86" t="s">
        <v>36</v>
      </c>
      <c r="D11" s="87">
        <v>1.6</v>
      </c>
      <c r="E11" s="88">
        <v>2.5</v>
      </c>
    </row>
    <row r="12" spans="1:5" ht="18" customHeight="1" x14ac:dyDescent="0.25">
      <c r="A12" s="89" t="s">
        <v>47</v>
      </c>
      <c r="B12" s="85">
        <v>15</v>
      </c>
      <c r="C12" s="86">
        <v>7679.4</v>
      </c>
      <c r="D12" s="87">
        <v>10479.200000000001</v>
      </c>
      <c r="E12" s="88">
        <v>13982.8</v>
      </c>
    </row>
    <row r="13" spans="1:5" ht="18" customHeight="1" x14ac:dyDescent="0.25">
      <c r="A13" s="94" t="s">
        <v>48</v>
      </c>
      <c r="B13" s="95"/>
      <c r="C13" s="96">
        <v>11740.6</v>
      </c>
      <c r="D13" s="97">
        <v>14961.5</v>
      </c>
      <c r="E13" s="98">
        <v>19002.8</v>
      </c>
    </row>
    <row r="14" spans="1:5" ht="18" customHeight="1" x14ac:dyDescent="0.25">
      <c r="A14" s="102" t="s">
        <v>49</v>
      </c>
      <c r="B14" s="103"/>
      <c r="C14" s="104">
        <v>11904.2</v>
      </c>
      <c r="D14" s="105">
        <v>15137.4</v>
      </c>
      <c r="E14" s="106">
        <v>19246.2</v>
      </c>
    </row>
    <row r="15" spans="1:5" ht="18" customHeight="1" x14ac:dyDescent="0.25">
      <c r="A15" s="99" t="s">
        <v>50</v>
      </c>
      <c r="B15" s="173">
        <v>16</v>
      </c>
      <c r="C15" s="100"/>
      <c r="D15" s="107"/>
      <c r="E15" s="108"/>
    </row>
    <row r="16" spans="1:5" ht="18" customHeight="1" x14ac:dyDescent="0.25">
      <c r="A16" s="89" t="s">
        <v>51</v>
      </c>
      <c r="B16" s="174"/>
      <c r="C16" s="86">
        <v>29.7</v>
      </c>
      <c r="D16" s="87">
        <v>46.1</v>
      </c>
      <c r="E16" s="88">
        <v>45.8</v>
      </c>
    </row>
    <row r="17" spans="1:12" ht="18" customHeight="1" x14ac:dyDescent="0.25">
      <c r="A17" s="89" t="s">
        <v>52</v>
      </c>
      <c r="B17" s="85">
        <v>17</v>
      </c>
      <c r="C17" s="76">
        <v>7.8</v>
      </c>
      <c r="D17" s="87">
        <v>198.4</v>
      </c>
      <c r="E17" s="88">
        <v>98.1</v>
      </c>
    </row>
    <row r="18" spans="1:12" ht="18" customHeight="1" x14ac:dyDescent="0.25">
      <c r="A18" s="89" t="s">
        <v>53</v>
      </c>
      <c r="B18" s="85">
        <v>18</v>
      </c>
      <c r="C18" s="76"/>
      <c r="D18" s="87">
        <v>14.8</v>
      </c>
      <c r="E18" s="88">
        <v>75.900000000000006</v>
      </c>
      <c r="I18" t="s">
        <v>72</v>
      </c>
      <c r="J18" s="1">
        <f>C13-C29</f>
        <v>454.60000000000036</v>
      </c>
      <c r="K18" s="1">
        <f>D13-D29</f>
        <v>1072</v>
      </c>
      <c r="L18" s="1">
        <f>E13-E29</f>
        <v>1378.5</v>
      </c>
    </row>
    <row r="19" spans="1:12" ht="18" customHeight="1" x14ac:dyDescent="0.25">
      <c r="A19" s="89" t="s">
        <v>54</v>
      </c>
      <c r="B19" s="85">
        <v>10</v>
      </c>
      <c r="C19" s="86">
        <v>1.1000000000000001</v>
      </c>
      <c r="D19" s="87">
        <v>2.4</v>
      </c>
      <c r="E19" s="88">
        <v>4</v>
      </c>
      <c r="K19" s="1">
        <f>K18-J18</f>
        <v>617.39999999999964</v>
      </c>
      <c r="L19" s="1">
        <f>L18-K18</f>
        <v>306.5</v>
      </c>
    </row>
    <row r="20" spans="1:12" ht="18" customHeight="1" x14ac:dyDescent="0.25">
      <c r="A20" s="89" t="s">
        <v>55</v>
      </c>
      <c r="B20" s="85">
        <v>20</v>
      </c>
      <c r="C20" s="86">
        <v>2.7</v>
      </c>
      <c r="D20" s="87">
        <v>6.3</v>
      </c>
      <c r="E20" s="88">
        <v>11.9</v>
      </c>
    </row>
    <row r="21" spans="1:12" ht="18" customHeight="1" x14ac:dyDescent="0.25">
      <c r="A21" s="94" t="s">
        <v>56</v>
      </c>
      <c r="B21" s="95"/>
      <c r="C21" s="96">
        <v>41.3</v>
      </c>
      <c r="D21" s="97">
        <v>268</v>
      </c>
      <c r="E21" s="98">
        <v>235.7</v>
      </c>
    </row>
    <row r="22" spans="1:12" ht="18" customHeight="1" x14ac:dyDescent="0.25">
      <c r="A22" s="99" t="s">
        <v>57</v>
      </c>
      <c r="B22" s="173">
        <v>16</v>
      </c>
      <c r="C22" s="100"/>
      <c r="D22" s="107"/>
      <c r="E22" s="108"/>
    </row>
    <row r="23" spans="1:12" ht="18" customHeight="1" x14ac:dyDescent="0.25">
      <c r="A23" s="89" t="s">
        <v>51</v>
      </c>
      <c r="B23" s="174"/>
      <c r="C23" s="109">
        <v>11022.9</v>
      </c>
      <c r="D23" s="87">
        <v>13861.8</v>
      </c>
      <c r="E23" s="88">
        <v>17578.8</v>
      </c>
    </row>
    <row r="24" spans="1:12" ht="18" customHeight="1" x14ac:dyDescent="0.25">
      <c r="A24" s="89" t="s">
        <v>52</v>
      </c>
      <c r="B24" s="85">
        <v>17</v>
      </c>
      <c r="C24" s="76">
        <v>256.60000000000002</v>
      </c>
      <c r="D24" s="87">
        <v>4.3</v>
      </c>
      <c r="E24" s="88">
        <v>1.3</v>
      </c>
    </row>
    <row r="25" spans="1:12" ht="18" customHeight="1" x14ac:dyDescent="0.25">
      <c r="A25" s="89" t="s">
        <v>53</v>
      </c>
      <c r="B25" s="85">
        <v>18</v>
      </c>
      <c r="C25" s="76"/>
      <c r="D25" s="87">
        <v>6.7</v>
      </c>
      <c r="E25" s="88">
        <v>10.3</v>
      </c>
    </row>
    <row r="26" spans="1:12" ht="18" customHeight="1" x14ac:dyDescent="0.25">
      <c r="A26" s="89" t="s">
        <v>58</v>
      </c>
      <c r="B26" s="110"/>
      <c r="C26" s="111">
        <v>4</v>
      </c>
      <c r="D26" s="87">
        <v>6</v>
      </c>
      <c r="E26" s="88">
        <v>4.4000000000000004</v>
      </c>
    </row>
    <row r="27" spans="1:12" ht="18" customHeight="1" x14ac:dyDescent="0.25">
      <c r="A27" s="89" t="s">
        <v>59</v>
      </c>
      <c r="B27" s="85">
        <v>19</v>
      </c>
      <c r="C27" s="76"/>
      <c r="D27" s="87">
        <v>1.6</v>
      </c>
      <c r="E27" s="88">
        <v>3.7</v>
      </c>
    </row>
    <row r="28" spans="1:12" ht="18" customHeight="1" x14ac:dyDescent="0.25">
      <c r="A28" s="89" t="s">
        <v>55</v>
      </c>
      <c r="B28" s="85">
        <v>20</v>
      </c>
      <c r="C28" s="76">
        <v>2.5</v>
      </c>
      <c r="D28" s="87">
        <v>9.1</v>
      </c>
      <c r="E28" s="88">
        <v>25.8</v>
      </c>
    </row>
    <row r="29" spans="1:12" ht="18" customHeight="1" x14ac:dyDescent="0.25">
      <c r="A29" s="94" t="s">
        <v>60</v>
      </c>
      <c r="B29" s="112"/>
      <c r="C29" s="96">
        <v>11286</v>
      </c>
      <c r="D29" s="97">
        <v>13889.5</v>
      </c>
      <c r="E29" s="98">
        <v>17624.3</v>
      </c>
    </row>
    <row r="30" spans="1:12" ht="18" customHeight="1" x14ac:dyDescent="0.25">
      <c r="A30" s="94" t="s">
        <v>61</v>
      </c>
      <c r="B30" s="113"/>
      <c r="C30" s="96">
        <v>11327.3</v>
      </c>
      <c r="D30" s="97">
        <v>14157.5</v>
      </c>
      <c r="E30" s="98">
        <v>17860</v>
      </c>
    </row>
    <row r="31" spans="1:12" ht="18" customHeight="1" x14ac:dyDescent="0.25">
      <c r="A31" s="99" t="s">
        <v>62</v>
      </c>
      <c r="B31" s="114"/>
      <c r="C31" s="100"/>
      <c r="D31" s="100"/>
      <c r="E31" s="101"/>
    </row>
    <row r="32" spans="1:12" ht="18" customHeight="1" x14ac:dyDescent="0.25">
      <c r="A32" s="89" t="s">
        <v>63</v>
      </c>
      <c r="B32" s="115">
        <v>21</v>
      </c>
      <c r="C32" s="87">
        <v>10.199999999999999</v>
      </c>
      <c r="D32" s="87">
        <v>10.199999999999999</v>
      </c>
      <c r="E32" s="88">
        <v>10.199999999999999</v>
      </c>
    </row>
    <row r="33" spans="1:5" ht="18" customHeight="1" x14ac:dyDescent="0.25">
      <c r="A33" s="89" t="s">
        <v>64</v>
      </c>
      <c r="B33" s="115"/>
      <c r="C33" s="86">
        <v>-8</v>
      </c>
      <c r="D33" s="87">
        <v>-8</v>
      </c>
      <c r="E33" s="88">
        <v>-8</v>
      </c>
    </row>
    <row r="34" spans="1:5" ht="18" customHeight="1" x14ac:dyDescent="0.25">
      <c r="A34" s="89" t="s">
        <v>65</v>
      </c>
      <c r="B34" s="115"/>
      <c r="C34" s="86">
        <v>247.4</v>
      </c>
      <c r="D34" s="87">
        <v>306.5</v>
      </c>
      <c r="E34" s="88">
        <v>299.39999999999998</v>
      </c>
    </row>
    <row r="35" spans="1:5" ht="18" customHeight="1" x14ac:dyDescent="0.25">
      <c r="A35" s="89" t="s">
        <v>66</v>
      </c>
      <c r="B35" s="115"/>
      <c r="C35" s="86">
        <v>-10.4</v>
      </c>
      <c r="D35" s="87">
        <v>-55.5</v>
      </c>
      <c r="E35" s="88">
        <v>-66.8</v>
      </c>
    </row>
    <row r="36" spans="1:5" ht="18" customHeight="1" x14ac:dyDescent="0.25">
      <c r="A36" s="89" t="s">
        <v>67</v>
      </c>
      <c r="B36" s="115"/>
      <c r="C36" s="86">
        <v>-23.3</v>
      </c>
      <c r="D36" s="87">
        <v>-12.4</v>
      </c>
      <c r="E36" s="88">
        <v>-2.1</v>
      </c>
    </row>
    <row r="37" spans="1:5" ht="18" customHeight="1" x14ac:dyDescent="0.25">
      <c r="A37" s="89" t="s">
        <v>68</v>
      </c>
      <c r="B37" s="115"/>
      <c r="C37" s="86">
        <v>3.2</v>
      </c>
      <c r="D37" s="87">
        <v>-3.8</v>
      </c>
      <c r="E37" s="88">
        <v>-14.2</v>
      </c>
    </row>
    <row r="38" spans="1:5" ht="18" customHeight="1" x14ac:dyDescent="0.25">
      <c r="A38" s="90" t="s">
        <v>69</v>
      </c>
      <c r="B38" s="115"/>
      <c r="C38" s="86">
        <v>357.8</v>
      </c>
      <c r="D38" s="92">
        <v>742.9</v>
      </c>
      <c r="E38" s="93">
        <v>1167.7</v>
      </c>
    </row>
    <row r="39" spans="1:5" ht="18" customHeight="1" x14ac:dyDescent="0.25">
      <c r="A39" s="94" t="s">
        <v>70</v>
      </c>
      <c r="B39" s="116"/>
      <c r="C39" s="96">
        <v>576.9</v>
      </c>
      <c r="D39" s="97">
        <v>979.9</v>
      </c>
      <c r="E39" s="98">
        <v>1386.2</v>
      </c>
    </row>
    <row r="40" spans="1:5" ht="18" customHeight="1" thickBot="1" x14ac:dyDescent="0.3">
      <c r="A40" s="117" t="s">
        <v>71</v>
      </c>
      <c r="B40" s="118"/>
      <c r="C40" s="119">
        <v>11904.2</v>
      </c>
      <c r="D40" s="120">
        <v>15137.4</v>
      </c>
      <c r="E40" s="121">
        <v>19246.2</v>
      </c>
    </row>
  </sheetData>
  <mergeCells count="3">
    <mergeCell ref="B7:B8"/>
    <mergeCell ref="B15:B16"/>
    <mergeCell ref="B22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882-04B5-4DF9-843D-25BB119146BF}">
  <dimension ref="A1:O9"/>
  <sheetViews>
    <sheetView workbookViewId="0">
      <selection activeCell="B10" sqref="B10"/>
    </sheetView>
  </sheetViews>
  <sheetFormatPr defaultRowHeight="15" x14ac:dyDescent="0.25"/>
  <cols>
    <col min="1" max="1" width="45.7109375" customWidth="1"/>
    <col min="2" max="9" width="15.85546875" customWidth="1"/>
    <col min="10" max="11" width="2.7109375" customWidth="1"/>
    <col min="12" max="12" width="49.5703125" customWidth="1"/>
    <col min="13" max="15" width="14.85546875" customWidth="1"/>
  </cols>
  <sheetData>
    <row r="1" spans="1:15" ht="20.100000000000001" customHeight="1" thickBot="1" x14ac:dyDescent="0.3">
      <c r="A1" s="72"/>
      <c r="B1" s="73" t="s">
        <v>0</v>
      </c>
      <c r="C1" s="73" t="s">
        <v>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74" t="s">
        <v>7</v>
      </c>
    </row>
    <row r="2" spans="1:15" ht="21.95" customHeight="1" x14ac:dyDescent="0.25">
      <c r="A2" s="75" t="s">
        <v>23</v>
      </c>
      <c r="B2" s="76">
        <f>IS!B7</f>
        <v>157.19999999999999</v>
      </c>
      <c r="C2" s="76">
        <f>IS!C7</f>
        <v>501.9</v>
      </c>
      <c r="D2" s="76">
        <f>IS!D7</f>
        <v>579.6</v>
      </c>
      <c r="E2" s="76">
        <f>IS!E7</f>
        <v>640.56299999999999</v>
      </c>
      <c r="F2" s="76">
        <f>IS!F7</f>
        <v>765.56984</v>
      </c>
      <c r="G2" s="76">
        <f>IS!G7</f>
        <v>898.418724</v>
      </c>
      <c r="H2" s="76">
        <f>IS!H7</f>
        <v>1034.9783700480002</v>
      </c>
      <c r="I2" s="77">
        <f>IS!I7</f>
        <v>1170.1005461376003</v>
      </c>
      <c r="L2" s="122" t="s">
        <v>131</v>
      </c>
      <c r="M2" s="123" t="s">
        <v>0</v>
      </c>
      <c r="N2" s="123" t="s">
        <v>1</v>
      </c>
      <c r="O2" s="124" t="s">
        <v>2</v>
      </c>
    </row>
    <row r="3" spans="1:15" ht="20.100000000000001" customHeight="1" x14ac:dyDescent="0.25">
      <c r="A3" s="75" t="s">
        <v>24</v>
      </c>
      <c r="B3" s="76">
        <f>IS!B10</f>
        <v>-32.5</v>
      </c>
      <c r="C3" s="76">
        <f>IS!C10</f>
        <v>-126.8</v>
      </c>
      <c r="D3" s="76">
        <f>IS!D10</f>
        <v>-148.1</v>
      </c>
      <c r="E3" s="76">
        <f>IS!E10</f>
        <v>166.54638</v>
      </c>
      <c r="F3" s="76">
        <f>IS!F10</f>
        <v>199.04815840000001</v>
      </c>
      <c r="G3" s="76">
        <f>IS!G10</f>
        <v>233.58886824000001</v>
      </c>
      <c r="H3" s="76">
        <f>IS!H10</f>
        <v>269.09437621248009</v>
      </c>
      <c r="I3" s="77">
        <f>IS!I10</f>
        <v>304.22614199577612</v>
      </c>
      <c r="L3" s="125" t="s">
        <v>30</v>
      </c>
      <c r="M3" s="126"/>
      <c r="N3" s="126"/>
      <c r="O3" s="127"/>
    </row>
    <row r="4" spans="1:15" ht="18" customHeight="1" x14ac:dyDescent="0.25">
      <c r="A4" s="78" t="s">
        <v>25</v>
      </c>
      <c r="B4" s="79">
        <f>B2-B3</f>
        <v>189.7</v>
      </c>
      <c r="C4" s="79">
        <f t="shared" ref="C4:I4" si="0">C2-C3</f>
        <v>628.69999999999993</v>
      </c>
      <c r="D4" s="79">
        <f t="shared" si="0"/>
        <v>727.7</v>
      </c>
      <c r="E4" s="79">
        <f t="shared" si="0"/>
        <v>474.01661999999999</v>
      </c>
      <c r="F4" s="79">
        <f t="shared" si="0"/>
        <v>566.52168159999997</v>
      </c>
      <c r="G4" s="79">
        <f t="shared" si="0"/>
        <v>664.82985575999999</v>
      </c>
      <c r="H4" s="79">
        <f t="shared" si="0"/>
        <v>765.88399383552019</v>
      </c>
      <c r="I4" s="80">
        <f t="shared" si="0"/>
        <v>865.87440414182424</v>
      </c>
      <c r="L4" s="128" t="s">
        <v>31</v>
      </c>
      <c r="M4" s="111">
        <v>-34.5</v>
      </c>
      <c r="N4" s="87">
        <v>-10.6</v>
      </c>
      <c r="O4" s="129">
        <v>-3.6</v>
      </c>
    </row>
    <row r="5" spans="1:15" ht="18" customHeight="1" x14ac:dyDescent="0.25">
      <c r="A5" s="75" t="s">
        <v>26</v>
      </c>
      <c r="B5" s="76">
        <v>20</v>
      </c>
      <c r="C5" s="76">
        <v>28.2</v>
      </c>
      <c r="D5" s="76">
        <v>32.9</v>
      </c>
      <c r="E5" s="76">
        <f>IS!E2*2%</f>
        <v>38.821999999999996</v>
      </c>
      <c r="F5" s="76">
        <f>IS!F2*2%</f>
        <v>45.033520000000003</v>
      </c>
      <c r="G5" s="76">
        <f>IS!G2*2%</f>
        <v>51.338212800000001</v>
      </c>
      <c r="H5" s="76">
        <f>IS!H2*2%</f>
        <v>57.498798336000007</v>
      </c>
      <c r="I5" s="77">
        <f>IS!I2*2%</f>
        <v>63.248678169600019</v>
      </c>
      <c r="L5" s="128" t="s">
        <v>32</v>
      </c>
      <c r="M5" s="111">
        <v>-0.9</v>
      </c>
      <c r="N5" s="87">
        <v>-2.4</v>
      </c>
      <c r="O5" s="129">
        <v>-5.2</v>
      </c>
    </row>
    <row r="6" spans="1:15" ht="18" customHeight="1" x14ac:dyDescent="0.25">
      <c r="A6" s="75" t="s">
        <v>27</v>
      </c>
      <c r="B6" s="76">
        <f>O4+O5</f>
        <v>-8.8000000000000007</v>
      </c>
      <c r="C6" s="76">
        <f>N4+N5</f>
        <v>-13</v>
      </c>
      <c r="D6" s="76">
        <f>M4+M5</f>
        <v>-35.4</v>
      </c>
      <c r="E6" s="76">
        <f>E2*2%</f>
        <v>12.811260000000001</v>
      </c>
      <c r="F6" s="76">
        <f t="shared" ref="F6:I6" si="1">F2*2%</f>
        <v>15.311396800000001</v>
      </c>
      <c r="G6" s="76">
        <f t="shared" si="1"/>
        <v>17.968374480000001</v>
      </c>
      <c r="H6" s="76">
        <f t="shared" si="1"/>
        <v>20.699567400960003</v>
      </c>
      <c r="I6" s="77">
        <f t="shared" si="1"/>
        <v>23.402010922752005</v>
      </c>
      <c r="L6" s="128" t="s">
        <v>33</v>
      </c>
      <c r="M6" s="111">
        <v>-6455.6</v>
      </c>
      <c r="N6" s="87">
        <v>-9552.2999999999993</v>
      </c>
      <c r="O6" s="129">
        <v>-8655.9</v>
      </c>
    </row>
    <row r="7" spans="1:15" ht="18" customHeight="1" x14ac:dyDescent="0.25">
      <c r="A7" s="75" t="s">
        <v>28</v>
      </c>
      <c r="B7" s="76">
        <v>7.9</v>
      </c>
      <c r="C7" s="76">
        <v>8.1999999999999993</v>
      </c>
      <c r="D7" s="76">
        <v>3.7</v>
      </c>
      <c r="E7" s="76">
        <f>E2*0.5%</f>
        <v>3.2028150000000002</v>
      </c>
      <c r="F7" s="76">
        <f>F2*0.5%</f>
        <v>3.8278492000000002</v>
      </c>
      <c r="G7" s="76">
        <f>G2*0.5%</f>
        <v>4.4920936200000003</v>
      </c>
      <c r="H7" s="76">
        <f>H2*0.5%</f>
        <v>5.1748918502400008</v>
      </c>
      <c r="I7" s="77">
        <f>I2*0.5%</f>
        <v>5.8505027306880013</v>
      </c>
      <c r="L7" s="128" t="s">
        <v>34</v>
      </c>
      <c r="M7" s="111">
        <v>5892.6</v>
      </c>
      <c r="N7" s="87">
        <v>9422.6</v>
      </c>
      <c r="O7" s="129">
        <v>6077.2</v>
      </c>
    </row>
    <row r="8" spans="1:15" ht="18" customHeight="1" thickBot="1" x14ac:dyDescent="0.3">
      <c r="A8" s="81" t="s">
        <v>29</v>
      </c>
      <c r="B8" s="82">
        <f>B4+B5-B6-B7</f>
        <v>210.6</v>
      </c>
      <c r="C8" s="82">
        <f>C4-C5-C6-C7</f>
        <v>605.29999999999984</v>
      </c>
      <c r="D8" s="82">
        <f>D4-D5-D6-D7</f>
        <v>726.5</v>
      </c>
      <c r="E8" s="82">
        <f t="shared" ref="E8" si="2">E4+E5-E6-E7</f>
        <v>496.824545</v>
      </c>
      <c r="F8" s="82">
        <f t="shared" ref="F8:I8" si="3">F4+F5-F6-F7</f>
        <v>592.41595559999996</v>
      </c>
      <c r="G8" s="82">
        <f t="shared" si="3"/>
        <v>693.70760045999998</v>
      </c>
      <c r="H8" s="82">
        <f t="shared" si="3"/>
        <v>797.5083329203203</v>
      </c>
      <c r="I8" s="83">
        <f t="shared" si="3"/>
        <v>899.87056865798422</v>
      </c>
      <c r="L8" s="128" t="s">
        <v>35</v>
      </c>
      <c r="M8" s="111" t="s">
        <v>36</v>
      </c>
      <c r="N8" s="87">
        <v>0.1</v>
      </c>
      <c r="O8" s="130">
        <v>0.2</v>
      </c>
    </row>
    <row r="9" spans="1:15" ht="20.100000000000001" customHeight="1" thickBot="1" x14ac:dyDescent="0.3">
      <c r="L9" s="117" t="s">
        <v>37</v>
      </c>
      <c r="M9" s="120">
        <v>-598.4</v>
      </c>
      <c r="N9" s="120">
        <v>-142.6</v>
      </c>
      <c r="O9" s="131">
        <v>-2587.3000000000002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B63E-94A8-4CB2-B87E-ACB62F076A11}">
  <dimension ref="A1:H21"/>
  <sheetViews>
    <sheetView workbookViewId="0">
      <selection activeCell="D21" sqref="D21"/>
    </sheetView>
  </sheetViews>
  <sheetFormatPr defaultRowHeight="15" x14ac:dyDescent="0.25"/>
  <cols>
    <col min="1" max="1" width="45.7109375" customWidth="1"/>
    <col min="2" max="6" width="19" customWidth="1"/>
  </cols>
  <sheetData>
    <row r="1" spans="1:8" ht="20.100000000000001" customHeight="1" x14ac:dyDescent="0.25">
      <c r="A1" s="72" t="s">
        <v>83</v>
      </c>
      <c r="B1" s="73" t="s">
        <v>3</v>
      </c>
      <c r="C1" s="73" t="s">
        <v>4</v>
      </c>
      <c r="D1" s="73" t="s">
        <v>5</v>
      </c>
      <c r="E1" s="73" t="s">
        <v>6</v>
      </c>
      <c r="F1" s="74" t="s">
        <v>7</v>
      </c>
    </row>
    <row r="2" spans="1:8" ht="20.100000000000001" customHeight="1" x14ac:dyDescent="0.25">
      <c r="A2" s="75" t="s">
        <v>84</v>
      </c>
      <c r="B2" s="76">
        <f>CF!E8</f>
        <v>496.824545</v>
      </c>
      <c r="C2" s="76">
        <f>CF!F8</f>
        <v>592.41595559999996</v>
      </c>
      <c r="D2" s="76">
        <f>CF!G8</f>
        <v>693.70760045999998</v>
      </c>
      <c r="E2" s="76">
        <f>CF!H8</f>
        <v>797.5083329203203</v>
      </c>
      <c r="F2" s="77">
        <f>CF!I8</f>
        <v>899.87056865798422</v>
      </c>
    </row>
    <row r="3" spans="1:8" ht="20.100000000000001" customHeight="1" x14ac:dyDescent="0.25">
      <c r="A3" s="75" t="s">
        <v>85</v>
      </c>
      <c r="B3" s="132">
        <f>1/(1+Assumptions!$B$16)^1</f>
        <v>0.92187780466785407</v>
      </c>
      <c r="C3" s="132">
        <f>1/(1+Assumptions!$B$16)^2</f>
        <v>0.84985868673922205</v>
      </c>
      <c r="D3" s="132">
        <f>1/(1+Assumptions!$B$16)^3</f>
        <v>0.78346586040905952</v>
      </c>
      <c r="E3" s="132">
        <f>1/(1+Assumptions!$B$16)^4</f>
        <v>0.72225978742611519</v>
      </c>
      <c r="F3" s="133">
        <f>1/(1+Assumptions!$B$16)^5</f>
        <v>0.66583526723225794</v>
      </c>
    </row>
    <row r="4" spans="1:8" ht="20.100000000000001" customHeight="1" x14ac:dyDescent="0.25">
      <c r="A4" s="78" t="s">
        <v>86</v>
      </c>
      <c r="B4" s="79">
        <f>B2*B3</f>
        <v>458.01152084970545</v>
      </c>
      <c r="C4" s="79">
        <f t="shared" ref="C4:F4" si="0">C2*C3</f>
        <v>503.46984602957724</v>
      </c>
      <c r="D4" s="79">
        <f t="shared" si="0"/>
        <v>543.49622206669801</v>
      </c>
      <c r="E4" s="79">
        <f t="shared" si="0"/>
        <v>576.00819900558599</v>
      </c>
      <c r="F4" s="80">
        <f t="shared" si="0"/>
        <v>599.16556055683282</v>
      </c>
    </row>
    <row r="5" spans="1:8" ht="20.100000000000001" customHeight="1" x14ac:dyDescent="0.25">
      <c r="A5" s="134" t="s">
        <v>87</v>
      </c>
      <c r="B5" s="135">
        <f>SUM(B4:F4)</f>
        <v>2680.1513485083997</v>
      </c>
      <c r="C5" s="136"/>
      <c r="D5" s="136"/>
      <c r="E5" s="136"/>
      <c r="F5" s="137"/>
    </row>
    <row r="6" spans="1:8" ht="20.100000000000001" customHeight="1" x14ac:dyDescent="0.25">
      <c r="A6" s="75"/>
      <c r="B6" s="54"/>
      <c r="C6" s="54"/>
      <c r="D6" s="54"/>
      <c r="E6" s="54"/>
      <c r="F6" s="138"/>
    </row>
    <row r="7" spans="1:8" ht="20.100000000000001" customHeight="1" x14ac:dyDescent="0.25">
      <c r="A7" s="139" t="s">
        <v>88</v>
      </c>
      <c r="B7" s="126"/>
      <c r="C7" s="126"/>
      <c r="D7" s="126"/>
      <c r="E7" s="126"/>
      <c r="F7" s="127"/>
    </row>
    <row r="8" spans="1:8" ht="20.100000000000001" customHeight="1" x14ac:dyDescent="0.25">
      <c r="A8" s="75" t="s">
        <v>89</v>
      </c>
      <c r="B8" s="140">
        <f>F2*(1+Assumptions!B17)/(Assumptions!B16-Assumptions!B17)</f>
        <v>16931.402838773047</v>
      </c>
      <c r="C8" s="54"/>
      <c r="D8" s="54"/>
      <c r="E8" s="54"/>
      <c r="F8" s="138"/>
    </row>
    <row r="9" spans="1:8" ht="20.100000000000001" customHeight="1" x14ac:dyDescent="0.25">
      <c r="A9" s="78" t="s">
        <v>90</v>
      </c>
      <c r="B9" s="141">
        <f>B8/(1+Assumptions!B16)^5</f>
        <v>11273.525133771462</v>
      </c>
      <c r="C9" s="142"/>
      <c r="D9" s="142"/>
      <c r="E9" s="142"/>
      <c r="F9" s="143"/>
    </row>
    <row r="10" spans="1:8" ht="20.100000000000001" customHeight="1" x14ac:dyDescent="0.25">
      <c r="A10" s="75"/>
      <c r="B10" s="54"/>
      <c r="C10" s="54"/>
      <c r="D10" s="54"/>
      <c r="E10" s="54"/>
      <c r="F10" s="138"/>
    </row>
    <row r="11" spans="1:8" ht="20.100000000000001" customHeight="1" x14ac:dyDescent="0.25">
      <c r="A11" s="75" t="s">
        <v>91</v>
      </c>
      <c r="B11" s="140">
        <f>IS!I7*18</f>
        <v>21061.809830476806</v>
      </c>
      <c r="C11" s="54"/>
      <c r="D11" s="54"/>
      <c r="E11" s="54"/>
      <c r="F11" s="138"/>
    </row>
    <row r="12" spans="1:8" ht="20.100000000000001" customHeight="1" x14ac:dyDescent="0.25">
      <c r="A12" s="78" t="s">
        <v>90</v>
      </c>
      <c r="B12" s="141">
        <f>B11/(1+Assumptions!B16)^5</f>
        <v>14023.695776870522</v>
      </c>
      <c r="C12" s="142"/>
      <c r="D12" s="142"/>
      <c r="E12" s="142"/>
      <c r="F12" s="143"/>
      <c r="H12" s="2"/>
    </row>
    <row r="13" spans="1:8" ht="20.100000000000001" customHeight="1" x14ac:dyDescent="0.25">
      <c r="A13" s="75"/>
      <c r="B13" s="54"/>
      <c r="C13" s="54"/>
      <c r="D13" s="54"/>
      <c r="E13" s="54"/>
      <c r="F13" s="138"/>
      <c r="H13" s="2"/>
    </row>
    <row r="14" spans="1:8" ht="20.100000000000001" customHeight="1" x14ac:dyDescent="0.25">
      <c r="A14" s="134" t="s">
        <v>92</v>
      </c>
      <c r="B14" s="144">
        <f>B5+B9</f>
        <v>13953.676482279861</v>
      </c>
      <c r="C14" s="136"/>
      <c r="D14" s="136"/>
      <c r="E14" s="136"/>
      <c r="F14" s="137"/>
    </row>
    <row r="15" spans="1:8" ht="20.100000000000001" customHeight="1" x14ac:dyDescent="0.25">
      <c r="A15" s="75" t="s">
        <v>93</v>
      </c>
      <c r="B15" s="140">
        <f>98.1+1.3</f>
        <v>99.399999999999991</v>
      </c>
      <c r="C15" s="54"/>
      <c r="D15" s="54"/>
      <c r="E15" s="54"/>
      <c r="F15" s="138"/>
    </row>
    <row r="16" spans="1:8" ht="20.100000000000001" customHeight="1" x14ac:dyDescent="0.25">
      <c r="A16" s="75" t="s">
        <v>94</v>
      </c>
      <c r="B16" s="140">
        <f>-(13982-17578)</f>
        <v>3596</v>
      </c>
      <c r="C16" s="54"/>
      <c r="D16" s="54"/>
      <c r="E16" s="54"/>
      <c r="F16" s="138"/>
    </row>
    <row r="17" spans="1:6" ht="20.100000000000001" customHeight="1" x14ac:dyDescent="0.25">
      <c r="A17" s="134" t="s">
        <v>100</v>
      </c>
      <c r="B17" s="144">
        <f>B14-B15+B16</f>
        <v>17450.276482279864</v>
      </c>
      <c r="C17" s="136"/>
      <c r="D17" s="136"/>
      <c r="E17" s="136"/>
      <c r="F17" s="137"/>
    </row>
    <row r="18" spans="1:6" ht="20.100000000000001" customHeight="1" x14ac:dyDescent="0.25">
      <c r="A18" s="75" t="s">
        <v>95</v>
      </c>
      <c r="B18" s="145">
        <v>1040</v>
      </c>
      <c r="C18" s="54" t="s">
        <v>96</v>
      </c>
      <c r="D18" s="54"/>
      <c r="E18" s="54"/>
      <c r="F18" s="138"/>
    </row>
    <row r="19" spans="1:6" ht="20.100000000000001" customHeight="1" x14ac:dyDescent="0.25">
      <c r="A19" s="146" t="s">
        <v>97</v>
      </c>
      <c r="B19" s="147">
        <f>B17/B18</f>
        <v>16.779112002192175</v>
      </c>
      <c r="C19" s="54"/>
      <c r="D19" s="54"/>
      <c r="E19" s="54"/>
      <c r="F19" s="138"/>
    </row>
    <row r="20" spans="1:6" ht="20.100000000000001" customHeight="1" x14ac:dyDescent="0.25">
      <c r="A20" s="75" t="s">
        <v>98</v>
      </c>
      <c r="B20" s="148">
        <v>10.87</v>
      </c>
      <c r="C20" s="54"/>
      <c r="D20" s="54"/>
      <c r="E20" s="54"/>
      <c r="F20" s="138"/>
    </row>
    <row r="21" spans="1:6" ht="20.100000000000001" customHeight="1" thickBot="1" x14ac:dyDescent="0.3">
      <c r="A21" s="149" t="s">
        <v>99</v>
      </c>
      <c r="B21" s="150">
        <f>((B19-B20)/B20)</f>
        <v>0.54361655953929866</v>
      </c>
      <c r="C21" s="151"/>
      <c r="D21" s="151"/>
      <c r="E21" s="151"/>
      <c r="F21" s="1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BC1C-D118-4BF2-81E1-5C1383A702C6}">
  <dimension ref="A1:P18"/>
  <sheetViews>
    <sheetView workbookViewId="0">
      <selection activeCell="G18" sqref="G18"/>
    </sheetView>
  </sheetViews>
  <sheetFormatPr defaultRowHeight="15" x14ac:dyDescent="0.25"/>
  <cols>
    <col min="1" max="1" width="3.42578125" customWidth="1"/>
    <col min="2" max="2" width="13.7109375" customWidth="1"/>
    <col min="3" max="8" width="15.28515625" customWidth="1"/>
    <col min="9" max="9" width="3.42578125" customWidth="1"/>
    <col min="10" max="10" width="13.7109375" customWidth="1"/>
    <col min="11" max="16" width="15.28515625" customWidth="1"/>
  </cols>
  <sheetData>
    <row r="1" spans="1:16" ht="24" customHeight="1" x14ac:dyDescent="0.25">
      <c r="B1" s="170" t="s">
        <v>101</v>
      </c>
      <c r="C1" s="171"/>
      <c r="D1" s="171"/>
      <c r="E1" s="171"/>
      <c r="F1" s="171"/>
      <c r="G1" s="171"/>
      <c r="H1" s="172"/>
      <c r="J1" s="170" t="s">
        <v>102</v>
      </c>
      <c r="K1" s="171"/>
      <c r="L1" s="171"/>
      <c r="M1" s="171"/>
      <c r="N1" s="171"/>
      <c r="O1" s="171"/>
      <c r="P1" s="172"/>
    </row>
    <row r="2" spans="1:16" ht="21.95" customHeight="1" x14ac:dyDescent="0.25">
      <c r="B2" s="153">
        <f>DCF!B19</f>
        <v>16.779112002192175</v>
      </c>
      <c r="C2" s="154">
        <v>1.4999999999999999E-2</v>
      </c>
      <c r="D2" s="154">
        <v>0.02</v>
      </c>
      <c r="E2" s="154">
        <v>2.5000000000000001E-2</v>
      </c>
      <c r="F2" s="154">
        <v>0.03</v>
      </c>
      <c r="G2" s="154">
        <v>3.5000000000000003E-2</v>
      </c>
      <c r="H2" s="155">
        <v>0.04</v>
      </c>
      <c r="J2" s="153">
        <f>(DCF!B5+IS!I7*J18/(1+J16)^5-DCF!B15+DCF!B16)/DCF!B18</f>
        <v>19.426146399048385</v>
      </c>
      <c r="K2" s="163">
        <v>10</v>
      </c>
      <c r="L2" s="163">
        <v>13</v>
      </c>
      <c r="M2" s="163">
        <v>18</v>
      </c>
      <c r="N2" s="163">
        <v>22</v>
      </c>
      <c r="O2" s="163">
        <v>25</v>
      </c>
      <c r="P2" s="164">
        <v>30</v>
      </c>
    </row>
    <row r="3" spans="1:16" ht="21.95" customHeight="1" x14ac:dyDescent="0.25">
      <c r="B3" s="156">
        <v>6.5000000000000002E-2</v>
      </c>
      <c r="C3" s="157">
        <f t="dataTable" ref="C3:H10" dt2D="1" dtr="1" r1="B17" r2="B16"/>
        <v>18.912905031510906</v>
      </c>
      <c r="D3" s="157">
        <v>20.407542150815399</v>
      </c>
      <c r="E3" s="157">
        <v>22.275838549946005</v>
      </c>
      <c r="F3" s="157">
        <v>24.677933920256795</v>
      </c>
      <c r="G3" s="157">
        <v>27.88072774733784</v>
      </c>
      <c r="H3" s="158">
        <v>32.364639105251307</v>
      </c>
      <c r="J3" s="156">
        <v>6.5000000000000002E-2</v>
      </c>
      <c r="K3" s="157">
        <f t="dataTable" ref="K3:P10" dt2D="1" dtr="1" r1="J18" r2="J16"/>
        <v>14.151049041147864</v>
      </c>
      <c r="L3" s="157">
        <v>16.614608556807109</v>
      </c>
      <c r="M3" s="157">
        <v>20.720541082905847</v>
      </c>
      <c r="N3" s="157">
        <v>24.005287103784838</v>
      </c>
      <c r="O3" s="157">
        <v>26.468846619444083</v>
      </c>
      <c r="P3" s="158">
        <v>30.57477914554282</v>
      </c>
    </row>
    <row r="4" spans="1:16" ht="21.95" customHeight="1" x14ac:dyDescent="0.25">
      <c r="B4" s="156">
        <v>7.0000000000000007E-2</v>
      </c>
      <c r="C4" s="157">
        <v>17.437493161659802</v>
      </c>
      <c r="D4" s="157">
        <v>18.637680134197673</v>
      </c>
      <c r="E4" s="157">
        <v>20.104575322855062</v>
      </c>
      <c r="F4" s="157">
        <v>21.938194308676803</v>
      </c>
      <c r="G4" s="157">
        <v>24.295704433304756</v>
      </c>
      <c r="H4" s="158">
        <v>27.439051266142027</v>
      </c>
      <c r="J4" s="156">
        <v>7.0000000000000007E-2</v>
      </c>
      <c r="K4" s="157">
        <v>13.960967815896554</v>
      </c>
      <c r="L4" s="157">
        <v>16.367502963980407</v>
      </c>
      <c r="M4" s="157">
        <v>20.378394877453488</v>
      </c>
      <c r="N4" s="157">
        <v>23.587108408231952</v>
      </c>
      <c r="O4" s="157">
        <v>25.993643556315803</v>
      </c>
      <c r="P4" s="158">
        <v>30.004535469788888</v>
      </c>
    </row>
    <row r="5" spans="1:16" ht="21.95" customHeight="1" x14ac:dyDescent="0.25">
      <c r="B5" s="156">
        <v>7.4999999999999997E-2</v>
      </c>
      <c r="C5" s="157">
        <v>16.20901325337438</v>
      </c>
      <c r="D5" s="157">
        <v>17.190690931901869</v>
      </c>
      <c r="E5" s="157">
        <v>18.368704146134853</v>
      </c>
      <c r="F5" s="157">
        <v>19.808498074641829</v>
      </c>
      <c r="G5" s="157">
        <v>21.608240485275555</v>
      </c>
      <c r="H5" s="158">
        <v>23.9221950132332</v>
      </c>
      <c r="J5" s="156">
        <v>7.4999999999999997E-2</v>
      </c>
      <c r="K5" s="157">
        <v>13.776142028659336</v>
      </c>
      <c r="L5" s="157">
        <v>16.127229440572023</v>
      </c>
      <c r="M5" s="157">
        <v>20.045708460426493</v>
      </c>
      <c r="N5" s="157">
        <v>23.180491676310073</v>
      </c>
      <c r="O5" s="157">
        <v>25.53157908822276</v>
      </c>
      <c r="P5" s="158">
        <v>29.450058108077236</v>
      </c>
    </row>
    <row r="6" spans="1:16" ht="21.95" customHeight="1" x14ac:dyDescent="0.25">
      <c r="B6" s="156">
        <v>0.08</v>
      </c>
      <c r="C6" s="157">
        <v>15.170458277971884</v>
      </c>
      <c r="D6" s="157">
        <v>15.985832700576101</v>
      </c>
      <c r="E6" s="157">
        <v>16.949457018199261</v>
      </c>
      <c r="F6" s="157">
        <v>18.105806199347057</v>
      </c>
      <c r="G6" s="157">
        <v>19.519121865194361</v>
      </c>
      <c r="H6" s="158">
        <v>21.285766447503494</v>
      </c>
      <c r="J6" s="156">
        <v>0.08</v>
      </c>
      <c r="K6" s="157">
        <v>13.596402936462582</v>
      </c>
      <c r="L6" s="157">
        <v>15.893568620716241</v>
      </c>
      <c r="M6" s="157">
        <v>19.722178094472337</v>
      </c>
      <c r="N6" s="157">
        <v>22.785065673477213</v>
      </c>
      <c r="O6" s="157">
        <v>25.082231357730873</v>
      </c>
      <c r="P6" s="158">
        <v>28.910840831486972</v>
      </c>
    </row>
    <row r="7" spans="1:16" ht="21.95" customHeight="1" x14ac:dyDescent="0.25">
      <c r="B7" s="156">
        <v>8.5000000000000006E-2</v>
      </c>
      <c r="C7" s="157">
        <v>14.281109543245407</v>
      </c>
      <c r="D7" s="157">
        <v>14.967207875359929</v>
      </c>
      <c r="E7" s="157">
        <v>15.767655929493531</v>
      </c>
      <c r="F7" s="159">
        <v>16.713639993469613</v>
      </c>
      <c r="G7" s="157">
        <v>17.84882087024091</v>
      </c>
      <c r="H7" s="158">
        <v>19.236264164072491</v>
      </c>
      <c r="J7" s="156">
        <v>8.5000000000000006E-2</v>
      </c>
      <c r="K7" s="157">
        <v>13.421587960066834</v>
      </c>
      <c r="L7" s="157">
        <v>15.666309151401771</v>
      </c>
      <c r="M7" s="159">
        <v>19.407511136959993</v>
      </c>
      <c r="N7" s="157">
        <v>22.400472725406573</v>
      </c>
      <c r="O7" s="157">
        <v>24.645193916741508</v>
      </c>
      <c r="P7" s="158">
        <v>28.386395902299732</v>
      </c>
    </row>
    <row r="8" spans="1:16" ht="21.95" customHeight="1" x14ac:dyDescent="0.25">
      <c r="B8" s="156">
        <v>0.09</v>
      </c>
      <c r="C8" s="157">
        <v>13.511107228491682</v>
      </c>
      <c r="D8" s="157">
        <v>14.094890193265392</v>
      </c>
      <c r="E8" s="157">
        <v>14.76848592185044</v>
      </c>
      <c r="F8" s="157">
        <v>15.554347605199666</v>
      </c>
      <c r="G8" s="157">
        <v>16.483093230976024</v>
      </c>
      <c r="H8" s="158">
        <v>17.597587981907648</v>
      </c>
      <c r="J8" s="156">
        <v>0.09</v>
      </c>
      <c r="K8" s="157">
        <v>13.251540431831748</v>
      </c>
      <c r="L8" s="157">
        <v>15.445247364696154</v>
      </c>
      <c r="M8" s="157">
        <v>19.101425586136834</v>
      </c>
      <c r="N8" s="157">
        <v>22.026368163289376</v>
      </c>
      <c r="O8" s="157">
        <v>24.220075096153785</v>
      </c>
      <c r="P8" s="158">
        <v>27.876253317594461</v>
      </c>
    </row>
    <row r="9" spans="1:16" ht="21.95" customHeight="1" x14ac:dyDescent="0.25">
      <c r="B9" s="156">
        <v>9.5000000000000001E-2</v>
      </c>
      <c r="C9" s="157">
        <v>12.838056969610612</v>
      </c>
      <c r="D9" s="157">
        <v>13.33960090792872</v>
      </c>
      <c r="E9" s="157">
        <v>13.912793980292269</v>
      </c>
      <c r="F9" s="157">
        <v>14.574170602250213</v>
      </c>
      <c r="G9" s="157">
        <v>15.345776661201146</v>
      </c>
      <c r="H9" s="158">
        <v>16.257674730870434</v>
      </c>
      <c r="J9" s="156">
        <v>9.5000000000000001E-2</v>
      </c>
      <c r="K9" s="157">
        <v>13.086109354989025</v>
      </c>
      <c r="L9" s="157">
        <v>15.23018696480062</v>
      </c>
      <c r="M9" s="157">
        <v>18.803649647819942</v>
      </c>
      <c r="N9" s="157">
        <v>21.662419794235394</v>
      </c>
      <c r="O9" s="157">
        <v>23.80649740404699</v>
      </c>
      <c r="P9" s="158">
        <v>27.379960087066305</v>
      </c>
    </row>
    <row r="10" spans="1:16" ht="21.95" customHeight="1" thickBot="1" x14ac:dyDescent="0.3">
      <c r="B10" s="160">
        <v>0.1</v>
      </c>
      <c r="C10" s="161">
        <v>12.244834120688601</v>
      </c>
      <c r="D10" s="161">
        <v>12.679381424478493</v>
      </c>
      <c r="E10" s="161">
        <v>13.171868368773698</v>
      </c>
      <c r="F10" s="161">
        <v>13.734710590825369</v>
      </c>
      <c r="G10" s="161">
        <v>14.384143923961908</v>
      </c>
      <c r="H10" s="162">
        <v>15.141816145954536</v>
      </c>
      <c r="J10" s="160">
        <v>0.1</v>
      </c>
      <c r="K10" s="161">
        <v>12.925149173758063</v>
      </c>
      <c r="L10" s="161">
        <v>15.020938729200367</v>
      </c>
      <c r="M10" s="161">
        <v>18.513921321604208</v>
      </c>
      <c r="N10" s="161">
        <v>21.308307395527276</v>
      </c>
      <c r="O10" s="161">
        <v>23.404096950969578</v>
      </c>
      <c r="P10" s="162">
        <v>26.897079543373419</v>
      </c>
    </row>
    <row r="16" spans="1:16" x14ac:dyDescent="0.25">
      <c r="A16" s="165"/>
      <c r="B16" s="166">
        <v>8.4742462543930003E-2</v>
      </c>
      <c r="C16" s="167"/>
      <c r="D16" s="165"/>
      <c r="E16" s="165"/>
      <c r="F16" s="165"/>
      <c r="G16" s="165"/>
      <c r="H16" s="165"/>
      <c r="I16" s="165"/>
      <c r="J16" s="166">
        <v>8.4699999999999998E-2</v>
      </c>
      <c r="K16" s="165"/>
      <c r="L16" s="165"/>
      <c r="M16" s="165"/>
      <c r="N16" s="165"/>
      <c r="O16" s="165"/>
      <c r="P16" s="165"/>
    </row>
    <row r="17" spans="1:16" x14ac:dyDescent="0.25">
      <c r="A17" s="165"/>
      <c r="B17" s="166">
        <v>0.03</v>
      </c>
      <c r="C17" s="168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spans="1:16" x14ac:dyDescent="0.25">
      <c r="A18" s="165"/>
      <c r="B18" s="165"/>
      <c r="C18" s="165"/>
      <c r="D18" s="165"/>
      <c r="E18" s="165"/>
      <c r="F18" s="165"/>
      <c r="G18" s="165"/>
      <c r="H18" s="165"/>
      <c r="I18" s="165"/>
      <c r="J18" s="169">
        <v>18</v>
      </c>
      <c r="K18" s="165"/>
      <c r="L18" s="165"/>
      <c r="M18" s="165"/>
      <c r="N18" s="165"/>
      <c r="O18" s="165"/>
      <c r="P18" s="165"/>
    </row>
  </sheetData>
  <mergeCells count="2">
    <mergeCell ref="B1:H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277B-0E89-43B7-BEA7-24B7C7FAE416}">
  <dimension ref="A1:D8"/>
  <sheetViews>
    <sheetView workbookViewId="0">
      <selection activeCell="F14" sqref="F14"/>
    </sheetView>
  </sheetViews>
  <sheetFormatPr defaultRowHeight="15" x14ac:dyDescent="0.25"/>
  <cols>
    <col min="1" max="1" width="20" customWidth="1"/>
    <col min="2" max="4" width="17.140625" customWidth="1"/>
  </cols>
  <sheetData>
    <row r="1" spans="1:4" ht="21.95" customHeight="1" x14ac:dyDescent="0.25">
      <c r="A1" s="17" t="s">
        <v>107</v>
      </c>
      <c r="B1" s="18" t="s">
        <v>112</v>
      </c>
      <c r="C1" s="18" t="s">
        <v>113</v>
      </c>
      <c r="D1" s="19" t="s">
        <v>114</v>
      </c>
    </row>
    <row r="2" spans="1:4" ht="20.100000000000001" customHeight="1" x14ac:dyDescent="0.25">
      <c r="A2" s="20" t="s">
        <v>108</v>
      </c>
      <c r="B2" s="21">
        <v>17</v>
      </c>
      <c r="C2" s="21">
        <v>7.5</v>
      </c>
      <c r="D2" s="22">
        <v>27.4</v>
      </c>
    </row>
    <row r="3" spans="1:4" ht="20.100000000000001" customHeight="1" x14ac:dyDescent="0.25">
      <c r="A3" s="23" t="s">
        <v>109</v>
      </c>
      <c r="B3" s="24">
        <v>5.01</v>
      </c>
      <c r="C3" s="24">
        <v>1.1100000000000001</v>
      </c>
      <c r="D3" s="25">
        <v>7.97</v>
      </c>
    </row>
    <row r="4" spans="1:4" ht="20.100000000000001" customHeight="1" x14ac:dyDescent="0.25">
      <c r="A4" s="26" t="s">
        <v>110</v>
      </c>
      <c r="B4" s="27">
        <v>10.9</v>
      </c>
      <c r="C4" s="27">
        <v>6.38</v>
      </c>
      <c r="D4" s="28">
        <v>25.47</v>
      </c>
    </row>
    <row r="5" spans="1:4" ht="20.100000000000001" customHeight="1" x14ac:dyDescent="0.25">
      <c r="A5" s="23" t="s">
        <v>111</v>
      </c>
      <c r="B5" s="24">
        <v>20.67</v>
      </c>
      <c r="C5" s="24">
        <v>2.04</v>
      </c>
      <c r="D5" s="25">
        <v>40.92</v>
      </c>
    </row>
    <row r="6" spans="1:4" ht="8.1" customHeight="1" x14ac:dyDescent="0.25">
      <c r="A6" s="29"/>
      <c r="B6" s="30"/>
      <c r="C6" s="30"/>
      <c r="D6" s="31"/>
    </row>
    <row r="7" spans="1:4" ht="20.100000000000001" customHeight="1" x14ac:dyDescent="0.25">
      <c r="A7" s="32" t="s">
        <v>126</v>
      </c>
      <c r="B7" s="33">
        <f>AVERAGE(B2:B5)</f>
        <v>13.395</v>
      </c>
      <c r="C7" s="33">
        <f t="shared" ref="C7:D7" si="0">AVERAGE(C2:C5)</f>
        <v>4.2574999999999994</v>
      </c>
      <c r="D7" s="34">
        <f t="shared" si="0"/>
        <v>25.439999999999998</v>
      </c>
    </row>
    <row r="8" spans="1:4" ht="20.100000000000001" customHeight="1" thickBot="1" x14ac:dyDescent="0.3">
      <c r="A8" s="35" t="s">
        <v>127</v>
      </c>
      <c r="B8" s="36">
        <f>MEDIAN(B2:B5)</f>
        <v>13.95</v>
      </c>
      <c r="C8" s="36">
        <f t="shared" ref="C8:D8" si="1">MEDIAN(C2:C5)</f>
        <v>4.21</v>
      </c>
      <c r="D8" s="37">
        <f t="shared" si="1"/>
        <v>26.434999999999999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IS</vt:lpstr>
      <vt:lpstr>BS</vt:lpstr>
      <vt:lpstr>CF</vt:lpstr>
      <vt:lpstr>DCF</vt:lpstr>
      <vt:lpstr>Sensitivity</vt:lpstr>
      <vt:lpstr>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KABRAWALA</dc:creator>
  <cp:lastModifiedBy>PARTH KABRAWALA</cp:lastModifiedBy>
  <dcterms:created xsi:type="dcterms:W3CDTF">2015-06-05T18:17:20Z</dcterms:created>
  <dcterms:modified xsi:type="dcterms:W3CDTF">2026-06-17T18:07:00Z</dcterms:modified>
</cp:coreProperties>
</file>